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Business Analytics\Data Analytics\Excel\Homework Sheets\"/>
    </mc:Choice>
  </mc:AlternateContent>
  <xr:revisionPtr revIDLastSave="0" documentId="13_ncr:1_{ED2ABD18-41B5-4E8A-94C6-29F289B63AD7}" xr6:coauthVersionLast="47" xr6:coauthVersionMax="47" xr10:uidLastSave="{00000000-0000-0000-0000-000000000000}"/>
  <bookViews>
    <workbookView xWindow="-108" yWindow="-108" windowWidth="23256" windowHeight="13176" xr2:uid="{5EFF58B6-373F-4C9A-B3F7-C64EAD785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B64" i="1"/>
  <c r="B62" i="1"/>
  <c r="B61" i="1"/>
  <c r="B56" i="1"/>
  <c r="B60" i="1"/>
  <c r="B59" i="1"/>
  <c r="B63" i="1"/>
  <c r="B58" i="1"/>
  <c r="B57" i="1"/>
  <c r="C50" i="1"/>
  <c r="D47" i="1"/>
  <c r="B47" i="1"/>
  <c r="J53" i="1"/>
  <c r="J54" i="1"/>
  <c r="J55" i="1"/>
  <c r="J56" i="1"/>
  <c r="J52" i="1"/>
</calcChain>
</file>

<file path=xl/sharedStrings.xml><?xml version="1.0" encoding="utf-8"?>
<sst xmlns="http://schemas.openxmlformats.org/spreadsheetml/2006/main" count="414" uniqueCount="303">
  <si>
    <t>Employee id</t>
  </si>
  <si>
    <t>Name</t>
  </si>
  <si>
    <t>Salary</t>
  </si>
  <si>
    <t>Bonus</t>
  </si>
  <si>
    <t>Total Salary</t>
  </si>
  <si>
    <t>Ram</t>
  </si>
  <si>
    <t>Shyam</t>
  </si>
  <si>
    <t>Sita</t>
  </si>
  <si>
    <t>Gita</t>
  </si>
  <si>
    <t>Babita</t>
  </si>
  <si>
    <t>EmployeeID</t>
  </si>
  <si>
    <t>FirstName</t>
  </si>
  <si>
    <t>LastName</t>
  </si>
  <si>
    <t>Gender</t>
  </si>
  <si>
    <t>Department</t>
  </si>
  <si>
    <t>Designation</t>
  </si>
  <si>
    <t>Email</t>
  </si>
  <si>
    <t>Phone</t>
  </si>
  <si>
    <t>City</t>
  </si>
  <si>
    <t>State</t>
  </si>
  <si>
    <t>DateOfJoining</t>
  </si>
  <si>
    <t>EMP001</t>
  </si>
  <si>
    <t>Aarav</t>
  </si>
  <si>
    <t>Sharma</t>
  </si>
  <si>
    <t>Male</t>
  </si>
  <si>
    <t>IT</t>
  </si>
  <si>
    <t>aarav.sharma@example.com</t>
  </si>
  <si>
    <t>Mumbai</t>
  </si>
  <si>
    <t>Maharashtra</t>
  </si>
  <si>
    <t>EMP002</t>
  </si>
  <si>
    <t>Ananya</t>
  </si>
  <si>
    <t>Patel</t>
  </si>
  <si>
    <t>Female</t>
  </si>
  <si>
    <t>HR</t>
  </si>
  <si>
    <t>ananya.patel@example.com</t>
  </si>
  <si>
    <t>Ahmedabad</t>
  </si>
  <si>
    <t>Gujarat</t>
  </si>
  <si>
    <t>EMP003</t>
  </si>
  <si>
    <t>Vivaan</t>
  </si>
  <si>
    <t>Reddy</t>
  </si>
  <si>
    <t>Finance</t>
  </si>
  <si>
    <t>Accountant</t>
  </si>
  <si>
    <t>vivaan.reddy@example.com</t>
  </si>
  <si>
    <t>Hyderabad</t>
  </si>
  <si>
    <t>Telangana</t>
  </si>
  <si>
    <t>EMP004</t>
  </si>
  <si>
    <t>Diya</t>
  </si>
  <si>
    <t>Singh</t>
  </si>
  <si>
    <t>Marketing</t>
  </si>
  <si>
    <t>diya.singh@example.com</t>
  </si>
  <si>
    <t>Delhi</t>
  </si>
  <si>
    <t>EMP005</t>
  </si>
  <si>
    <t>Arjun</t>
  </si>
  <si>
    <t>Verma</t>
  </si>
  <si>
    <t>Sales</t>
  </si>
  <si>
    <t>arjun.verma@example.com</t>
  </si>
  <si>
    <t>Jaipur</t>
  </si>
  <si>
    <t>Rajasthan</t>
  </si>
  <si>
    <t>EMP006</t>
  </si>
  <si>
    <t>Ishita</t>
  </si>
  <si>
    <t>Nair</t>
  </si>
  <si>
    <t>ishita.nair@example.com</t>
  </si>
  <si>
    <t>Kochi</t>
  </si>
  <si>
    <t>Kerala</t>
  </si>
  <si>
    <t>EMP007</t>
  </si>
  <si>
    <t>Krishna</t>
  </si>
  <si>
    <t>Yadav</t>
  </si>
  <si>
    <t>Operations</t>
  </si>
  <si>
    <t>krishna.yadav@example.com</t>
  </si>
  <si>
    <t>Lucknow</t>
  </si>
  <si>
    <t>EMP008</t>
  </si>
  <si>
    <t>Meera</t>
  </si>
  <si>
    <t>Iyer</t>
  </si>
  <si>
    <t>meera.iyer@example.com</t>
  </si>
  <si>
    <t>Chennai</t>
  </si>
  <si>
    <t>EMP009</t>
  </si>
  <si>
    <t>Rohan</t>
  </si>
  <si>
    <t>Joshi</t>
  </si>
  <si>
    <t>rohan.joshi@example.com</t>
  </si>
  <si>
    <t>Pune</t>
  </si>
  <si>
    <t>EMP010</t>
  </si>
  <si>
    <t>Priya</t>
  </si>
  <si>
    <t>Kapoor</t>
  </si>
  <si>
    <t>Support</t>
  </si>
  <si>
    <t>priya.kapoor@example.com</t>
  </si>
  <si>
    <t>Chandigarh</t>
  </si>
  <si>
    <t>EMP011</t>
  </si>
  <si>
    <t>Aditya</t>
  </si>
  <si>
    <t>Gupta</t>
  </si>
  <si>
    <t>aditya.gupta@example.com</t>
  </si>
  <si>
    <t>Noida</t>
  </si>
  <si>
    <t>EMP012</t>
  </si>
  <si>
    <t>Kavya</t>
  </si>
  <si>
    <t>Menon</t>
  </si>
  <si>
    <t>Recruiter</t>
  </si>
  <si>
    <t>kavya.menon@example.com</t>
  </si>
  <si>
    <t>Bengaluru</t>
  </si>
  <si>
    <t>Karnataka</t>
  </si>
  <si>
    <t>EMP013</t>
  </si>
  <si>
    <t>Siddharth</t>
  </si>
  <si>
    <t>Mishra</t>
  </si>
  <si>
    <t>siddharth.mishra@example.com</t>
  </si>
  <si>
    <t>Patna</t>
  </si>
  <si>
    <t>Bihar</t>
  </si>
  <si>
    <t>EMP014</t>
  </si>
  <si>
    <t>Nisha</t>
  </si>
  <si>
    <t>Agarwal</t>
  </si>
  <si>
    <t>nisha.agarwal@example.com</t>
  </si>
  <si>
    <t>Indore</t>
  </si>
  <si>
    <t>EMP015</t>
  </si>
  <si>
    <t>Karan</t>
  </si>
  <si>
    <t>Chauhan</t>
  </si>
  <si>
    <t>karan.chauhan@example.com</t>
  </si>
  <si>
    <t>Gurugram</t>
  </si>
  <si>
    <t>Haryana</t>
  </si>
  <si>
    <t>EMP016</t>
  </si>
  <si>
    <t>Pooja</t>
  </si>
  <si>
    <t>Jain</t>
  </si>
  <si>
    <t>pooja.jain@example.com</t>
  </si>
  <si>
    <t>Bhopal</t>
  </si>
  <si>
    <t>EMP017</t>
  </si>
  <si>
    <t>Rahul</t>
  </si>
  <si>
    <t>Thakur</t>
  </si>
  <si>
    <t>rahul.thakur@example.com</t>
  </si>
  <si>
    <t>Shimla</t>
  </si>
  <si>
    <t>EMP018</t>
  </si>
  <si>
    <t>Sneha</t>
  </si>
  <si>
    <t>Kulkarni</t>
  </si>
  <si>
    <t>sneha.kulkarni@example.com</t>
  </si>
  <si>
    <t>Nagpur</t>
  </si>
  <si>
    <t>EMP019</t>
  </si>
  <si>
    <t>Harsh</t>
  </si>
  <si>
    <t>Vyas</t>
  </si>
  <si>
    <t>harsh.vyas@example.com</t>
  </si>
  <si>
    <t>Udaipur</t>
  </si>
  <si>
    <t>EMP020</t>
  </si>
  <si>
    <t>Neha</t>
  </si>
  <si>
    <t>Desai</t>
  </si>
  <si>
    <t>neha.desai@example.com</t>
  </si>
  <si>
    <t>Surat</t>
  </si>
  <si>
    <t>EMP021</t>
  </si>
  <si>
    <t>Manav</t>
  </si>
  <si>
    <t>Saxena</t>
  </si>
  <si>
    <t>manav.saxena@example.com</t>
  </si>
  <si>
    <t>Kanpur</t>
  </si>
  <si>
    <t>EMP022</t>
  </si>
  <si>
    <t>Riya</t>
  </si>
  <si>
    <t>Bose</t>
  </si>
  <si>
    <t>riya.bose@example.com</t>
  </si>
  <si>
    <t>Kolkata</t>
  </si>
  <si>
    <t>EMP023</t>
  </si>
  <si>
    <t>Akash</t>
  </si>
  <si>
    <t>Pandey</t>
  </si>
  <si>
    <t>akash.pandey@example.com</t>
  </si>
  <si>
    <t>Varanasi</t>
  </si>
  <si>
    <t>EMP024</t>
  </si>
  <si>
    <t>Tanya</t>
  </si>
  <si>
    <t>Sethi</t>
  </si>
  <si>
    <t>tanya.sethi@example.com</t>
  </si>
  <si>
    <t>Ludhiana</t>
  </si>
  <si>
    <t>Punjab</t>
  </si>
  <si>
    <t>EMP025</t>
  </si>
  <si>
    <t>Mohit</t>
  </si>
  <si>
    <t>Bansal</t>
  </si>
  <si>
    <t>mohit.bansal@example.com</t>
  </si>
  <si>
    <t>Faridabad</t>
  </si>
  <si>
    <t>EMP026</t>
  </si>
  <si>
    <t>Simran</t>
  </si>
  <si>
    <t>Kaur</t>
  </si>
  <si>
    <t>simran.kaur@example.com</t>
  </si>
  <si>
    <t>Amritsar</t>
  </si>
  <si>
    <t>EMP027</t>
  </si>
  <si>
    <t>Nikhil</t>
  </si>
  <si>
    <t>Malhotra</t>
  </si>
  <si>
    <t>nikhil.malhotra@example.com</t>
  </si>
  <si>
    <t>EMP028</t>
  </si>
  <si>
    <t>Aditi</t>
  </si>
  <si>
    <t>Rao</t>
  </si>
  <si>
    <t>aditi.rao@example.com</t>
  </si>
  <si>
    <t>Visakhapatnam</t>
  </si>
  <si>
    <t>EMP029</t>
  </si>
  <si>
    <t>Yash</t>
  </si>
  <si>
    <t>Mehta</t>
  </si>
  <si>
    <t>yash.mehta@example.com</t>
  </si>
  <si>
    <t>Vadodara</t>
  </si>
  <si>
    <t>EMP030</t>
  </si>
  <si>
    <t>Shreya</t>
  </si>
  <si>
    <t>Ghosh</t>
  </si>
  <si>
    <t>Auditor</t>
  </si>
  <si>
    <t>shreya.ghosh@example.com</t>
  </si>
  <si>
    <t>Bhubaneswar</t>
  </si>
  <si>
    <t>Odisha</t>
  </si>
  <si>
    <t>EMP031</t>
  </si>
  <si>
    <t>Ritvik</t>
  </si>
  <si>
    <t>Soni</t>
  </si>
  <si>
    <t>ritvik.soni@example.com</t>
  </si>
  <si>
    <t>Raipur</t>
  </si>
  <si>
    <t>Chhattisgarh</t>
  </si>
  <si>
    <t>EMP032</t>
  </si>
  <si>
    <t>Palak</t>
  </si>
  <si>
    <t>Arora</t>
  </si>
  <si>
    <t>palak.arora@example.com</t>
  </si>
  <si>
    <t>Dehradun</t>
  </si>
  <si>
    <t>Uttarakhand</t>
  </si>
  <si>
    <t>EMP033</t>
  </si>
  <si>
    <t>Dhruv</t>
  </si>
  <si>
    <t>Tiwari</t>
  </si>
  <si>
    <t>dhruv.tiwari@example.com</t>
  </si>
  <si>
    <t>EMP034</t>
  </si>
  <si>
    <t>Muskan</t>
  </si>
  <si>
    <t>Chopra</t>
  </si>
  <si>
    <t>muskan.chopra@example.com</t>
  </si>
  <si>
    <t>Jammu</t>
  </si>
  <si>
    <t>EMP035</t>
  </si>
  <si>
    <t>Sameer</t>
  </si>
  <si>
    <t>Khanna</t>
  </si>
  <si>
    <t>sameer.khanna@example.com</t>
  </si>
  <si>
    <t>EMP036</t>
  </si>
  <si>
    <t>Sonal</t>
  </si>
  <si>
    <t>Dubey</t>
  </si>
  <si>
    <t>sonal.dubey@example.com</t>
  </si>
  <si>
    <t>Gwalior</t>
  </si>
  <si>
    <t>EMP037</t>
  </si>
  <si>
    <t>Varun</t>
  </si>
  <si>
    <t>Rawat</t>
  </si>
  <si>
    <t>varun.rawat@example.com</t>
  </si>
  <si>
    <t>Haridwar</t>
  </si>
  <si>
    <t>EMP038</t>
  </si>
  <si>
    <t>Bhavna</t>
  </si>
  <si>
    <t>Srivastava</t>
  </si>
  <si>
    <t>bhavna.srivastava@example.com</t>
  </si>
  <si>
    <t>Prayagraj</t>
  </si>
  <si>
    <t>EMP039</t>
  </si>
  <si>
    <t>Saurabh</t>
  </si>
  <si>
    <t>Chandra</t>
  </si>
  <si>
    <t>saurabh.chandra@example.com</t>
  </si>
  <si>
    <t>Ranchi</t>
  </si>
  <si>
    <t>Jharkhand</t>
  </si>
  <si>
    <t>EMP040</t>
  </si>
  <si>
    <t>Anjali</t>
  </si>
  <si>
    <t>Pillai</t>
  </si>
  <si>
    <t>Administration</t>
  </si>
  <si>
    <t>anjali.pillai@example.com</t>
  </si>
  <si>
    <t>Thiruvananthapuram</t>
  </si>
  <si>
    <t>Software Engineer</t>
  </si>
  <si>
    <t>HR Executive</t>
  </si>
  <si>
    <t>Marketing Executive</t>
  </si>
  <si>
    <t>Sales Executive</t>
  </si>
  <si>
    <t>QA Engineer</t>
  </si>
  <si>
    <t>Operations Executive</t>
  </si>
  <si>
    <t>Uttar Pradesh</t>
  </si>
  <si>
    <t>Financial Analyst</t>
  </si>
  <si>
    <t>Tamil Nadu</t>
  </si>
  <si>
    <t>System Administrator</t>
  </si>
  <si>
    <t>Customer Support Executive</t>
  </si>
  <si>
    <t>Backend Developer</t>
  </si>
  <si>
    <t>Sales Manager</t>
  </si>
  <si>
    <t>Content Writer</t>
  </si>
  <si>
    <t>Madhya Pradesh</t>
  </si>
  <si>
    <t>Frontend Developer</t>
  </si>
  <si>
    <t>Payroll Executive</t>
  </si>
  <si>
    <t>Operations Manager</t>
  </si>
  <si>
    <t>Himachal Pradesh</t>
  </si>
  <si>
    <t>UI Designer</t>
  </si>
  <si>
    <t>Technical Support Engineer</t>
  </si>
  <si>
    <t>HR Manager</t>
  </si>
  <si>
    <t>DevOps Engineer</t>
  </si>
  <si>
    <t>SEO Specialist</t>
  </si>
  <si>
    <t>West Bengal</t>
  </si>
  <si>
    <t>Finance Executive</t>
  </si>
  <si>
    <t>Business Development Executive</t>
  </si>
  <si>
    <t>Full Stack Developer</t>
  </si>
  <si>
    <t>Customer Success Executive</t>
  </si>
  <si>
    <t>Logistics Coordinator</t>
  </si>
  <si>
    <t>Data Analyst</t>
  </si>
  <si>
    <t>Andhra Pradesh</t>
  </si>
  <si>
    <t>Digital Marketing Executive</t>
  </si>
  <si>
    <t>Regional Sales Manager</t>
  </si>
  <si>
    <t>Training Coordinator</t>
  </si>
  <si>
    <t>Cloud Engineer</t>
  </si>
  <si>
    <t>Support Executive</t>
  </si>
  <si>
    <t>Jammu and Kashmir</t>
  </si>
  <si>
    <t>Tax Consultant</t>
  </si>
  <si>
    <t>Brand Executive</t>
  </si>
  <si>
    <t>Warehouse Supervisor</t>
  </si>
  <si>
    <t>Mobile App Developer</t>
  </si>
  <si>
    <t>Key Account Manager</t>
  </si>
  <si>
    <t>Office Administrator</t>
  </si>
  <si>
    <t>phone</t>
  </si>
  <si>
    <t>1 Use VLOOKUP to find the Employee Name of EMP015</t>
  </si>
  <si>
    <t>2 Use VLOOKUP to find the Department of employee EMP024</t>
  </si>
  <si>
    <t>4 Use VLOOKUP to display the City for employee EMP032.</t>
  </si>
  <si>
    <t xml:space="preserve"> 5 Find the Joining Date of employee EMP005 using VLOOKUP.</t>
  </si>
  <si>
    <t>6 Create a VLOOKUP formula to find the Salary of EMP027.</t>
  </si>
  <si>
    <t xml:space="preserve"> 7 Use VLOOKUP to return the Department of employee EMP038. </t>
  </si>
  <si>
    <t xml:space="preserve">8 Find the Employee Name for employee ID EMP019 using VLOOKUP. </t>
  </si>
  <si>
    <t xml:space="preserve">9 Use VLOOKUP to display the City of employee EMP030. </t>
  </si>
  <si>
    <t>10 Create a VLOOKUP formula to find the Joining Date of employee EMP040.</t>
  </si>
  <si>
    <t xml:space="preserve">3 Find the Salary of employee EMP009 using VLOOKUP.  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</si>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</sst>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6"/>
      <color rgb="FFC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4" fillId="3" borderId="0" xfId="0" applyFont="1" applyFill="1"/>
    <xf numFmtId="0" fontId="4" fillId="3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8A0D1-FFF8-4F94-907E-85EB2CB92DFF}" name="Table1" displayName="Table1" ref="A1:L41" totalsRowShown="0" headerRowDxfId="0" headerRowBorderDxfId="14" tableBorderDxfId="15" totalsRowBorderDxfId="13">
  <autoFilter ref="A1:L41" xr:uid="{1518A0D1-FFF8-4F94-907E-85EB2CB92DFF}"/>
  <tableColumns count="12">
    <tableColumn id="1" xr3:uid="{1D54458E-9A95-44F5-9DED-BD5C632F592E}" name="EmployeeID" dataDxfId="12"/>
    <tableColumn id="2" xr3:uid="{A8FC20F0-B37A-4E2A-A80A-D287452202DD}" name="FirstName" dataDxfId="11"/>
    <tableColumn id="3" xr3:uid="{E9B8EFFD-1DF9-4BCF-B384-6CFD7506A45D}" name="LastName" dataDxfId="10"/>
    <tableColumn id="4" xr3:uid="{990FFCD0-C180-479C-8CB6-DB9C5E8A932E}" name="Gender" dataDxfId="9"/>
    <tableColumn id="5" xr3:uid="{E9608455-DBD6-4E91-8110-9CBE9B5684F6}" name="Department" dataDxfId="8"/>
    <tableColumn id="6" xr3:uid="{27613F11-5040-44EC-810C-837DBA4FA6ED}" name="Designation" dataDxfId="7"/>
    <tableColumn id="7" xr3:uid="{40888A34-8A2E-43B4-A8F5-9AEFA709AA03}" name="Email" dataDxfId="6"/>
    <tableColumn id="8" xr3:uid="{7D0DF561-3DB9-4E8A-B403-F3FBC01EBA51}" name="Phone" dataDxfId="5"/>
    <tableColumn id="9" xr3:uid="{DD578CDC-8048-4030-A04B-DDD948143A1C}" name="City" dataDxfId="4"/>
    <tableColumn id="10" xr3:uid="{3788C881-D1C7-4DF2-A61D-A223BF71A615}" name="State" dataDxfId="3"/>
    <tableColumn id="11" xr3:uid="{30AA6ABC-6FE0-4CAC-85F6-6389A3ABD733}" name="DateOfJoining" dataDxfId="2"/>
    <tableColumn id="12" xr3:uid="{3402BB2B-66CE-46C6-9EF1-BD5733D91BD0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97DA-2308-4DB2-88AD-D7DFA6AB0210}">
  <dimension ref="A1:L64"/>
  <sheetViews>
    <sheetView tabSelected="1" zoomScale="76" zoomScaleNormal="55" workbookViewId="0">
      <selection activeCell="F40" sqref="F40"/>
    </sheetView>
  </sheetViews>
  <sheetFormatPr defaultRowHeight="14.4" x14ac:dyDescent="0.3"/>
  <cols>
    <col min="1" max="1" width="68.33203125" bestFit="1" customWidth="1"/>
    <col min="2" max="2" width="18.6640625" bestFit="1" customWidth="1"/>
    <col min="3" max="3" width="16.5546875" customWidth="1"/>
    <col min="4" max="4" width="20.33203125" bestFit="1" customWidth="1"/>
    <col min="5" max="5" width="19.44140625" customWidth="1"/>
    <col min="6" max="6" width="29.6640625" bestFit="1" customWidth="1"/>
    <col min="7" max="7" width="30.33203125" bestFit="1" customWidth="1"/>
    <col min="8" max="8" width="11.44140625" customWidth="1"/>
    <col min="9" max="9" width="19.6640625" bestFit="1" customWidth="1"/>
    <col min="10" max="10" width="18.5546875" bestFit="1" customWidth="1"/>
    <col min="11" max="11" width="22.21875" customWidth="1"/>
    <col min="12" max="12" width="11.109375" customWidth="1"/>
  </cols>
  <sheetData>
    <row r="1" spans="1:12" ht="23.4" x14ac:dyDescent="0.45">
      <c r="A1" s="13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5" t="s">
        <v>2</v>
      </c>
    </row>
    <row r="2" spans="1:12" x14ac:dyDescent="0.3">
      <c r="A2" s="11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244</v>
      </c>
      <c r="G2" s="4" t="s">
        <v>26</v>
      </c>
      <c r="H2" s="4">
        <v>9876500001</v>
      </c>
      <c r="I2" s="4" t="s">
        <v>27</v>
      </c>
      <c r="J2" s="4" t="s">
        <v>28</v>
      </c>
      <c r="K2" s="5">
        <v>44576</v>
      </c>
      <c r="L2" s="12">
        <v>650000</v>
      </c>
    </row>
    <row r="3" spans="1:12" x14ac:dyDescent="0.3">
      <c r="A3" s="11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245</v>
      </c>
      <c r="G3" s="4" t="s">
        <v>34</v>
      </c>
      <c r="H3" s="4">
        <v>9876500002</v>
      </c>
      <c r="I3" s="4" t="s">
        <v>35</v>
      </c>
      <c r="J3" s="4" t="s">
        <v>36</v>
      </c>
      <c r="K3" s="5">
        <v>44265</v>
      </c>
      <c r="L3" s="12">
        <v>520000</v>
      </c>
    </row>
    <row r="4" spans="1:12" x14ac:dyDescent="0.3">
      <c r="A4" s="11" t="s">
        <v>37</v>
      </c>
      <c r="B4" s="4" t="s">
        <v>38</v>
      </c>
      <c r="C4" s="4" t="s">
        <v>39</v>
      </c>
      <c r="D4" s="4" t="s">
        <v>24</v>
      </c>
      <c r="E4" s="4" t="s">
        <v>40</v>
      </c>
      <c r="F4" s="4" t="s">
        <v>41</v>
      </c>
      <c r="G4" s="4" t="s">
        <v>42</v>
      </c>
      <c r="H4" s="4">
        <v>9876500003</v>
      </c>
      <c r="I4" s="4" t="s">
        <v>43</v>
      </c>
      <c r="J4" s="4" t="s">
        <v>44</v>
      </c>
      <c r="K4" s="5">
        <v>44032</v>
      </c>
      <c r="L4" s="12">
        <v>580000</v>
      </c>
    </row>
    <row r="5" spans="1:12" x14ac:dyDescent="0.3">
      <c r="A5" s="11" t="s">
        <v>45</v>
      </c>
      <c r="B5" s="4" t="s">
        <v>46</v>
      </c>
      <c r="C5" s="4" t="s">
        <v>47</v>
      </c>
      <c r="D5" s="4" t="s">
        <v>32</v>
      </c>
      <c r="E5" s="4" t="s">
        <v>48</v>
      </c>
      <c r="F5" s="4" t="s">
        <v>246</v>
      </c>
      <c r="G5" s="4" t="s">
        <v>49</v>
      </c>
      <c r="H5" s="4">
        <v>9876500004</v>
      </c>
      <c r="I5" s="4" t="s">
        <v>50</v>
      </c>
      <c r="J5" s="4" t="s">
        <v>50</v>
      </c>
      <c r="K5" s="5">
        <v>44969</v>
      </c>
      <c r="L5" s="12">
        <v>500000</v>
      </c>
    </row>
    <row r="6" spans="1:12" x14ac:dyDescent="0.3">
      <c r="A6" s="11" t="s">
        <v>51</v>
      </c>
      <c r="B6" s="4" t="s">
        <v>52</v>
      </c>
      <c r="C6" s="4" t="s">
        <v>53</v>
      </c>
      <c r="D6" s="4" t="s">
        <v>24</v>
      </c>
      <c r="E6" s="4" t="s">
        <v>54</v>
      </c>
      <c r="F6" s="4" t="s">
        <v>247</v>
      </c>
      <c r="G6" s="4" t="s">
        <v>55</v>
      </c>
      <c r="H6" s="4">
        <v>9876500005</v>
      </c>
      <c r="I6" s="4" t="s">
        <v>56</v>
      </c>
      <c r="J6" s="4" t="s">
        <v>57</v>
      </c>
      <c r="K6" s="5">
        <v>44505</v>
      </c>
      <c r="L6" s="12">
        <v>540000</v>
      </c>
    </row>
    <row r="7" spans="1:12" x14ac:dyDescent="0.3">
      <c r="A7" s="11" t="s">
        <v>58</v>
      </c>
      <c r="B7" s="4" t="s">
        <v>59</v>
      </c>
      <c r="C7" s="4" t="s">
        <v>60</v>
      </c>
      <c r="D7" s="4" t="s">
        <v>32</v>
      </c>
      <c r="E7" s="4" t="s">
        <v>25</v>
      </c>
      <c r="F7" s="4" t="s">
        <v>248</v>
      </c>
      <c r="G7" s="4" t="s">
        <v>61</v>
      </c>
      <c r="H7" s="4">
        <v>9876500006</v>
      </c>
      <c r="I7" s="4" t="s">
        <v>62</v>
      </c>
      <c r="J7" s="4" t="s">
        <v>63</v>
      </c>
      <c r="K7" s="5">
        <v>44730</v>
      </c>
      <c r="L7" s="12">
        <v>610000</v>
      </c>
    </row>
    <row r="8" spans="1:12" x14ac:dyDescent="0.3">
      <c r="A8" s="11" t="s">
        <v>64</v>
      </c>
      <c r="B8" s="4" t="s">
        <v>65</v>
      </c>
      <c r="C8" s="4" t="s">
        <v>66</v>
      </c>
      <c r="D8" s="4" t="s">
        <v>24</v>
      </c>
      <c r="E8" s="4" t="s">
        <v>67</v>
      </c>
      <c r="F8" s="4" t="s">
        <v>249</v>
      </c>
      <c r="G8" s="4" t="s">
        <v>68</v>
      </c>
      <c r="H8" s="4">
        <v>9876500007</v>
      </c>
      <c r="I8" s="4" t="s">
        <v>69</v>
      </c>
      <c r="J8" s="4" t="s">
        <v>250</v>
      </c>
      <c r="K8" s="5">
        <v>43733</v>
      </c>
      <c r="L8" s="12">
        <v>570000</v>
      </c>
    </row>
    <row r="9" spans="1:12" x14ac:dyDescent="0.3">
      <c r="A9" s="11" t="s">
        <v>70</v>
      </c>
      <c r="B9" s="4" t="s">
        <v>71</v>
      </c>
      <c r="C9" s="4" t="s">
        <v>72</v>
      </c>
      <c r="D9" s="4" t="s">
        <v>32</v>
      </c>
      <c r="E9" s="4" t="s">
        <v>40</v>
      </c>
      <c r="F9" s="4" t="s">
        <v>251</v>
      </c>
      <c r="G9" s="4" t="s">
        <v>73</v>
      </c>
      <c r="H9" s="4">
        <v>9876500008</v>
      </c>
      <c r="I9" s="4" t="s">
        <v>74</v>
      </c>
      <c r="J9" s="4" t="s">
        <v>252</v>
      </c>
      <c r="K9" s="5">
        <v>44179</v>
      </c>
      <c r="L9" s="12">
        <v>690000</v>
      </c>
    </row>
    <row r="10" spans="1:12" x14ac:dyDescent="0.3">
      <c r="A10" s="11" t="s">
        <v>75</v>
      </c>
      <c r="B10" s="4" t="s">
        <v>76</v>
      </c>
      <c r="C10" s="4" t="s">
        <v>77</v>
      </c>
      <c r="D10" s="4" t="s">
        <v>24</v>
      </c>
      <c r="E10" s="4" t="s">
        <v>25</v>
      </c>
      <c r="F10" s="4" t="s">
        <v>253</v>
      </c>
      <c r="G10" s="4" t="s">
        <v>78</v>
      </c>
      <c r="H10" s="4">
        <v>9876500009</v>
      </c>
      <c r="I10" s="4" t="s">
        <v>79</v>
      </c>
      <c r="J10" s="4" t="s">
        <v>28</v>
      </c>
      <c r="K10" s="5">
        <v>44438</v>
      </c>
      <c r="L10" s="12">
        <v>630000</v>
      </c>
    </row>
    <row r="11" spans="1:12" x14ac:dyDescent="0.3">
      <c r="A11" s="11" t="s">
        <v>80</v>
      </c>
      <c r="B11" s="4" t="s">
        <v>81</v>
      </c>
      <c r="C11" s="4" t="s">
        <v>82</v>
      </c>
      <c r="D11" s="4" t="s">
        <v>32</v>
      </c>
      <c r="E11" s="4" t="s">
        <v>83</v>
      </c>
      <c r="F11" s="4" t="s">
        <v>254</v>
      </c>
      <c r="G11" s="4" t="s">
        <v>84</v>
      </c>
      <c r="H11" s="4">
        <v>9876500010</v>
      </c>
      <c r="I11" s="4" t="s">
        <v>85</v>
      </c>
      <c r="J11" s="4" t="s">
        <v>85</v>
      </c>
      <c r="K11" s="5">
        <v>44935</v>
      </c>
      <c r="L11" s="12">
        <v>420000</v>
      </c>
    </row>
    <row r="12" spans="1:12" x14ac:dyDescent="0.3">
      <c r="A12" s="11" t="s">
        <v>86</v>
      </c>
      <c r="B12" s="4" t="s">
        <v>87</v>
      </c>
      <c r="C12" s="4" t="s">
        <v>88</v>
      </c>
      <c r="D12" s="4" t="s">
        <v>24</v>
      </c>
      <c r="E12" s="4" t="s">
        <v>25</v>
      </c>
      <c r="F12" s="4" t="s">
        <v>255</v>
      </c>
      <c r="G12" s="4" t="s">
        <v>89</v>
      </c>
      <c r="H12" s="4">
        <v>9876500011</v>
      </c>
      <c r="I12" s="4" t="s">
        <v>90</v>
      </c>
      <c r="J12" s="4" t="s">
        <v>250</v>
      </c>
      <c r="K12" s="5">
        <v>44652</v>
      </c>
      <c r="L12" s="12">
        <v>720000</v>
      </c>
    </row>
    <row r="13" spans="1:12" x14ac:dyDescent="0.3">
      <c r="A13" s="11" t="s">
        <v>91</v>
      </c>
      <c r="B13" s="4" t="s">
        <v>92</v>
      </c>
      <c r="C13" s="4" t="s">
        <v>93</v>
      </c>
      <c r="D13" s="4" t="s">
        <v>32</v>
      </c>
      <c r="E13" s="4" t="s">
        <v>33</v>
      </c>
      <c r="F13" s="4" t="s">
        <v>94</v>
      </c>
      <c r="G13" s="4" t="s">
        <v>95</v>
      </c>
      <c r="H13" s="4">
        <v>9876500012</v>
      </c>
      <c r="I13" s="4" t="s">
        <v>96</v>
      </c>
      <c r="J13" s="4" t="s">
        <v>97</v>
      </c>
      <c r="K13" s="5">
        <v>44333</v>
      </c>
      <c r="L13" s="12">
        <v>510000</v>
      </c>
    </row>
    <row r="14" spans="1:12" x14ac:dyDescent="0.3">
      <c r="A14" s="11" t="s">
        <v>98</v>
      </c>
      <c r="B14" s="4" t="s">
        <v>99</v>
      </c>
      <c r="C14" s="4" t="s">
        <v>100</v>
      </c>
      <c r="D14" s="4" t="s">
        <v>24</v>
      </c>
      <c r="E14" s="4" t="s">
        <v>54</v>
      </c>
      <c r="F14" s="4" t="s">
        <v>256</v>
      </c>
      <c r="G14" s="2" t="s">
        <v>101</v>
      </c>
      <c r="H14" s="4">
        <v>9876500013</v>
      </c>
      <c r="I14" s="4" t="s">
        <v>102</v>
      </c>
      <c r="J14" s="4" t="s">
        <v>103</v>
      </c>
      <c r="K14" s="5">
        <v>43384</v>
      </c>
      <c r="L14" s="12">
        <v>850000</v>
      </c>
    </row>
    <row r="15" spans="1:12" x14ac:dyDescent="0.3">
      <c r="A15" s="11" t="s">
        <v>104</v>
      </c>
      <c r="B15" s="4" t="s">
        <v>105</v>
      </c>
      <c r="C15" s="4" t="s">
        <v>106</v>
      </c>
      <c r="D15" s="4" t="s">
        <v>32</v>
      </c>
      <c r="E15" s="4" t="s">
        <v>48</v>
      </c>
      <c r="F15" s="4" t="s">
        <v>257</v>
      </c>
      <c r="G15" s="4" t="s">
        <v>107</v>
      </c>
      <c r="H15" s="4">
        <v>9876500014</v>
      </c>
      <c r="I15" s="4" t="s">
        <v>108</v>
      </c>
      <c r="J15" s="4" t="s">
        <v>258</v>
      </c>
      <c r="K15" s="5">
        <v>44749</v>
      </c>
      <c r="L15" s="12">
        <v>480000</v>
      </c>
    </row>
    <row r="16" spans="1:12" x14ac:dyDescent="0.3">
      <c r="A16" s="11" t="s">
        <v>109</v>
      </c>
      <c r="B16" s="4" t="s">
        <v>110</v>
      </c>
      <c r="C16" s="4" t="s">
        <v>111</v>
      </c>
      <c r="D16" s="4" t="s">
        <v>24</v>
      </c>
      <c r="E16" s="4" t="s">
        <v>25</v>
      </c>
      <c r="F16" s="4" t="s">
        <v>259</v>
      </c>
      <c r="G16" s="4" t="s">
        <v>112</v>
      </c>
      <c r="H16" s="4">
        <v>9876500015</v>
      </c>
      <c r="I16" s="4" t="s">
        <v>113</v>
      </c>
      <c r="J16" s="4" t="s">
        <v>114</v>
      </c>
      <c r="K16" s="5">
        <v>45035</v>
      </c>
      <c r="L16" s="12">
        <v>670000</v>
      </c>
    </row>
    <row r="17" spans="1:12" x14ac:dyDescent="0.3">
      <c r="A17" s="11" t="s">
        <v>115</v>
      </c>
      <c r="B17" s="4" t="s">
        <v>116</v>
      </c>
      <c r="C17" s="4" t="s">
        <v>117</v>
      </c>
      <c r="D17" s="4" t="s">
        <v>32</v>
      </c>
      <c r="E17" s="4" t="s">
        <v>40</v>
      </c>
      <c r="F17" s="4" t="s">
        <v>260</v>
      </c>
      <c r="G17" s="4" t="s">
        <v>118</v>
      </c>
      <c r="H17" s="4">
        <v>9876500016</v>
      </c>
      <c r="I17" s="4" t="s">
        <v>119</v>
      </c>
      <c r="J17" s="4" t="s">
        <v>258</v>
      </c>
      <c r="K17" s="5">
        <v>43889</v>
      </c>
      <c r="L17" s="12">
        <v>560000</v>
      </c>
    </row>
    <row r="18" spans="1:12" x14ac:dyDescent="0.3">
      <c r="A18" s="11" t="s">
        <v>120</v>
      </c>
      <c r="B18" s="4" t="s">
        <v>121</v>
      </c>
      <c r="C18" s="4" t="s">
        <v>122</v>
      </c>
      <c r="D18" s="4" t="s">
        <v>24</v>
      </c>
      <c r="E18" s="4" t="s">
        <v>67</v>
      </c>
      <c r="F18" s="4" t="s">
        <v>261</v>
      </c>
      <c r="G18" s="4" t="s">
        <v>123</v>
      </c>
      <c r="H18" s="4">
        <v>9876500017</v>
      </c>
      <c r="I18" s="4" t="s">
        <v>124</v>
      </c>
      <c r="J18" s="4" t="s">
        <v>262</v>
      </c>
      <c r="K18" s="5">
        <v>43631</v>
      </c>
      <c r="L18" s="12">
        <v>810000</v>
      </c>
    </row>
    <row r="19" spans="1:12" x14ac:dyDescent="0.3">
      <c r="A19" s="11" t="s">
        <v>125</v>
      </c>
      <c r="B19" s="4" t="s">
        <v>126</v>
      </c>
      <c r="C19" s="4" t="s">
        <v>127</v>
      </c>
      <c r="D19" s="4" t="s">
        <v>32</v>
      </c>
      <c r="E19" s="4" t="s">
        <v>25</v>
      </c>
      <c r="F19" s="4" t="s">
        <v>263</v>
      </c>
      <c r="G19" s="4" t="s">
        <v>128</v>
      </c>
      <c r="H19" s="4">
        <v>9876500018</v>
      </c>
      <c r="I19" s="4" t="s">
        <v>129</v>
      </c>
      <c r="J19" s="4" t="s">
        <v>28</v>
      </c>
      <c r="K19" s="5">
        <v>44448</v>
      </c>
      <c r="L19" s="12">
        <v>600000</v>
      </c>
    </row>
    <row r="20" spans="1:12" x14ac:dyDescent="0.3">
      <c r="A20" s="11" t="s">
        <v>130</v>
      </c>
      <c r="B20" s="4" t="s">
        <v>131</v>
      </c>
      <c r="C20" s="4" t="s">
        <v>132</v>
      </c>
      <c r="D20" s="4" t="s">
        <v>24</v>
      </c>
      <c r="E20" s="4" t="s">
        <v>83</v>
      </c>
      <c r="F20" s="4" t="s">
        <v>264</v>
      </c>
      <c r="G20" s="4" t="s">
        <v>133</v>
      </c>
      <c r="H20" s="4">
        <v>9876500019</v>
      </c>
      <c r="I20" s="4" t="s">
        <v>134</v>
      </c>
      <c r="J20" s="4" t="s">
        <v>57</v>
      </c>
      <c r="K20" s="5">
        <v>44854</v>
      </c>
      <c r="L20" s="12">
        <v>550000</v>
      </c>
    </row>
    <row r="21" spans="1:12" x14ac:dyDescent="0.3">
      <c r="A21" s="11" t="s">
        <v>135</v>
      </c>
      <c r="B21" s="4" t="s">
        <v>136</v>
      </c>
      <c r="C21" s="4" t="s">
        <v>137</v>
      </c>
      <c r="D21" s="4" t="s">
        <v>32</v>
      </c>
      <c r="E21" s="4" t="s">
        <v>33</v>
      </c>
      <c r="F21" s="4" t="s">
        <v>265</v>
      </c>
      <c r="G21" s="4" t="s">
        <v>138</v>
      </c>
      <c r="H21" s="4">
        <v>9876500020</v>
      </c>
      <c r="I21" s="4" t="s">
        <v>139</v>
      </c>
      <c r="J21" s="4" t="s">
        <v>36</v>
      </c>
      <c r="K21" s="5">
        <v>43437</v>
      </c>
      <c r="L21" s="12">
        <v>900000</v>
      </c>
    </row>
    <row r="22" spans="1:12" x14ac:dyDescent="0.3">
      <c r="A22" s="11" t="s">
        <v>140</v>
      </c>
      <c r="B22" s="4" t="s">
        <v>141</v>
      </c>
      <c r="C22" s="4" t="s">
        <v>142</v>
      </c>
      <c r="D22" s="4" t="s">
        <v>24</v>
      </c>
      <c r="E22" s="4" t="s">
        <v>25</v>
      </c>
      <c r="F22" s="4" t="s">
        <v>266</v>
      </c>
      <c r="G22" s="4" t="s">
        <v>143</v>
      </c>
      <c r="H22" s="4">
        <v>9876500021</v>
      </c>
      <c r="I22" s="4" t="s">
        <v>144</v>
      </c>
      <c r="J22" s="4" t="s">
        <v>250</v>
      </c>
      <c r="K22" s="5">
        <v>44217</v>
      </c>
      <c r="L22" s="12">
        <v>760000</v>
      </c>
    </row>
    <row r="23" spans="1:12" x14ac:dyDescent="0.3">
      <c r="A23" s="11" t="s">
        <v>145</v>
      </c>
      <c r="B23" s="4" t="s">
        <v>146</v>
      </c>
      <c r="C23" s="4" t="s">
        <v>147</v>
      </c>
      <c r="D23" s="4" t="s">
        <v>32</v>
      </c>
      <c r="E23" s="4" t="s">
        <v>48</v>
      </c>
      <c r="F23" s="4" t="s">
        <v>267</v>
      </c>
      <c r="G23" s="4" t="s">
        <v>148</v>
      </c>
      <c r="H23" s="4">
        <v>9876500022</v>
      </c>
      <c r="I23" s="4" t="s">
        <v>149</v>
      </c>
      <c r="J23" s="4" t="s">
        <v>268</v>
      </c>
      <c r="K23" s="5">
        <v>44693</v>
      </c>
      <c r="L23" s="12">
        <v>590000</v>
      </c>
    </row>
    <row r="24" spans="1:12" x14ac:dyDescent="0.3">
      <c r="A24" s="11" t="s">
        <v>150</v>
      </c>
      <c r="B24" s="4" t="s">
        <v>151</v>
      </c>
      <c r="C24" s="4" t="s">
        <v>152</v>
      </c>
      <c r="D24" s="4" t="s">
        <v>24</v>
      </c>
      <c r="E24" s="4" t="s">
        <v>40</v>
      </c>
      <c r="F24" s="4" t="s">
        <v>269</v>
      </c>
      <c r="G24" s="4" t="s">
        <v>153</v>
      </c>
      <c r="H24" s="4">
        <v>9876500023</v>
      </c>
      <c r="I24" s="4" t="s">
        <v>154</v>
      </c>
      <c r="J24" s="4" t="s">
        <v>250</v>
      </c>
      <c r="K24" s="5">
        <v>44153</v>
      </c>
      <c r="L24" s="12">
        <v>570000</v>
      </c>
    </row>
    <row r="25" spans="1:12" x14ac:dyDescent="0.3">
      <c r="A25" s="11" t="s">
        <v>155</v>
      </c>
      <c r="B25" s="4" t="s">
        <v>156</v>
      </c>
      <c r="C25" s="4" t="s">
        <v>157</v>
      </c>
      <c r="D25" s="4" t="s">
        <v>32</v>
      </c>
      <c r="E25" s="4" t="s">
        <v>54</v>
      </c>
      <c r="F25" s="4" t="s">
        <v>270</v>
      </c>
      <c r="G25" s="4" t="s">
        <v>158</v>
      </c>
      <c r="H25" s="4">
        <v>9876500024</v>
      </c>
      <c r="I25" s="4" t="s">
        <v>159</v>
      </c>
      <c r="J25" s="4" t="s">
        <v>160</v>
      </c>
      <c r="K25" s="5">
        <v>44993</v>
      </c>
      <c r="L25" s="12">
        <v>530000</v>
      </c>
    </row>
    <row r="26" spans="1:12" x14ac:dyDescent="0.3">
      <c r="A26" s="11" t="s">
        <v>161</v>
      </c>
      <c r="B26" s="4" t="s">
        <v>162</v>
      </c>
      <c r="C26" s="4" t="s">
        <v>163</v>
      </c>
      <c r="D26" s="4" t="s">
        <v>24</v>
      </c>
      <c r="E26" s="4" t="s">
        <v>25</v>
      </c>
      <c r="F26" s="4" t="s">
        <v>271</v>
      </c>
      <c r="G26" s="4" t="s">
        <v>164</v>
      </c>
      <c r="H26" s="4">
        <v>9876500025</v>
      </c>
      <c r="I26" s="4" t="s">
        <v>165</v>
      </c>
      <c r="J26" s="4" t="s">
        <v>114</v>
      </c>
      <c r="K26" s="5">
        <v>43699</v>
      </c>
      <c r="L26" s="12">
        <v>780000</v>
      </c>
    </row>
    <row r="27" spans="1:12" x14ac:dyDescent="0.3">
      <c r="A27" s="11" t="s">
        <v>166</v>
      </c>
      <c r="B27" s="4" t="s">
        <v>167</v>
      </c>
      <c r="C27" s="4" t="s">
        <v>168</v>
      </c>
      <c r="D27" s="4" t="s">
        <v>32</v>
      </c>
      <c r="E27" s="4" t="s">
        <v>83</v>
      </c>
      <c r="F27" s="4" t="s">
        <v>272</v>
      </c>
      <c r="G27" s="4" t="s">
        <v>169</v>
      </c>
      <c r="H27" s="4">
        <v>9876500026</v>
      </c>
      <c r="I27" s="4" t="s">
        <v>170</v>
      </c>
      <c r="J27" s="4" t="s">
        <v>160</v>
      </c>
      <c r="K27" s="5">
        <v>44474</v>
      </c>
      <c r="L27" s="12">
        <v>460000</v>
      </c>
    </row>
    <row r="28" spans="1:12" x14ac:dyDescent="0.3">
      <c r="A28" s="11" t="s">
        <v>171</v>
      </c>
      <c r="B28" s="4" t="s">
        <v>172</v>
      </c>
      <c r="C28" s="4" t="s">
        <v>173</v>
      </c>
      <c r="D28" s="4" t="s">
        <v>24</v>
      </c>
      <c r="E28" s="4" t="s">
        <v>67</v>
      </c>
      <c r="F28" s="4" t="s">
        <v>273</v>
      </c>
      <c r="G28" s="4" t="s">
        <v>174</v>
      </c>
      <c r="H28" s="4">
        <v>9876500027</v>
      </c>
      <c r="I28" s="4" t="s">
        <v>50</v>
      </c>
      <c r="J28" s="4" t="s">
        <v>50</v>
      </c>
      <c r="K28" s="5">
        <v>44608</v>
      </c>
      <c r="L28" s="12">
        <v>520000</v>
      </c>
    </row>
    <row r="29" spans="1:12" x14ac:dyDescent="0.3">
      <c r="A29" s="11" t="s">
        <v>175</v>
      </c>
      <c r="B29" s="4" t="s">
        <v>176</v>
      </c>
      <c r="C29" s="4" t="s">
        <v>177</v>
      </c>
      <c r="D29" s="4" t="s">
        <v>32</v>
      </c>
      <c r="E29" s="4" t="s">
        <v>25</v>
      </c>
      <c r="F29" s="4" t="s">
        <v>274</v>
      </c>
      <c r="G29" s="4" t="s">
        <v>178</v>
      </c>
      <c r="H29" s="4">
        <v>9876500028</v>
      </c>
      <c r="I29" s="4" t="s">
        <v>179</v>
      </c>
      <c r="J29" s="4" t="s">
        <v>275</v>
      </c>
      <c r="K29" s="5">
        <v>44088</v>
      </c>
      <c r="L29" s="12">
        <v>680000</v>
      </c>
    </row>
    <row r="30" spans="1:12" x14ac:dyDescent="0.3">
      <c r="A30" s="11" t="s">
        <v>180</v>
      </c>
      <c r="B30" s="4" t="s">
        <v>181</v>
      </c>
      <c r="C30" s="4" t="s">
        <v>182</v>
      </c>
      <c r="D30" s="4" t="s">
        <v>24</v>
      </c>
      <c r="E30" s="4" t="s">
        <v>48</v>
      </c>
      <c r="F30" s="4" t="s">
        <v>276</v>
      </c>
      <c r="G30" s="4" t="s">
        <v>183</v>
      </c>
      <c r="H30" s="4">
        <v>9876500029</v>
      </c>
      <c r="I30" s="4" t="s">
        <v>184</v>
      </c>
      <c r="J30" s="4" t="s">
        <v>36</v>
      </c>
      <c r="K30" s="5">
        <v>44378</v>
      </c>
      <c r="L30" s="12">
        <v>560000</v>
      </c>
    </row>
    <row r="31" spans="1:12" x14ac:dyDescent="0.3">
      <c r="A31" s="11" t="s">
        <v>185</v>
      </c>
      <c r="B31" s="4" t="s">
        <v>186</v>
      </c>
      <c r="C31" s="4" t="s">
        <v>187</v>
      </c>
      <c r="D31" s="4" t="s">
        <v>32</v>
      </c>
      <c r="E31" s="4" t="s">
        <v>40</v>
      </c>
      <c r="F31" s="4" t="s">
        <v>188</v>
      </c>
      <c r="G31" s="4" t="s">
        <v>189</v>
      </c>
      <c r="H31" s="4">
        <v>9876500030</v>
      </c>
      <c r="I31" s="4" t="s">
        <v>190</v>
      </c>
      <c r="J31" s="4" t="s">
        <v>191</v>
      </c>
      <c r="K31" s="5">
        <v>43792</v>
      </c>
      <c r="L31" s="12">
        <v>710000</v>
      </c>
    </row>
    <row r="32" spans="1:12" x14ac:dyDescent="0.3">
      <c r="A32" s="11" t="s">
        <v>192</v>
      </c>
      <c r="B32" s="4" t="s">
        <v>193</v>
      </c>
      <c r="C32" s="4" t="s">
        <v>194</v>
      </c>
      <c r="D32" s="4" t="s">
        <v>24</v>
      </c>
      <c r="E32" s="4" t="s">
        <v>54</v>
      </c>
      <c r="F32" s="4" t="s">
        <v>277</v>
      </c>
      <c r="G32" s="4" t="s">
        <v>195</v>
      </c>
      <c r="H32" s="4">
        <v>9876500031</v>
      </c>
      <c r="I32" s="4" t="s">
        <v>196</v>
      </c>
      <c r="J32" s="4" t="s">
        <v>197</v>
      </c>
      <c r="K32" s="5">
        <v>43250</v>
      </c>
      <c r="L32" s="12">
        <v>920000</v>
      </c>
    </row>
    <row r="33" spans="1:12" x14ac:dyDescent="0.3">
      <c r="A33" s="11" t="s">
        <v>198</v>
      </c>
      <c r="B33" s="4" t="s">
        <v>199</v>
      </c>
      <c r="C33" s="4" t="s">
        <v>200</v>
      </c>
      <c r="D33" s="4" t="s">
        <v>32</v>
      </c>
      <c r="E33" s="4" t="s">
        <v>33</v>
      </c>
      <c r="F33" s="4" t="s">
        <v>278</v>
      </c>
      <c r="G33" s="4" t="s">
        <v>201</v>
      </c>
      <c r="H33" s="4">
        <v>9876500032</v>
      </c>
      <c r="I33" s="4" t="s">
        <v>202</v>
      </c>
      <c r="J33" s="4" t="s">
        <v>203</v>
      </c>
      <c r="K33" s="5">
        <v>44781</v>
      </c>
      <c r="L33" s="12">
        <v>500000</v>
      </c>
    </row>
    <row r="34" spans="1:12" x14ac:dyDescent="0.3">
      <c r="A34" s="11" t="s">
        <v>204</v>
      </c>
      <c r="B34" s="4" t="s">
        <v>205</v>
      </c>
      <c r="C34" s="4" t="s">
        <v>206</v>
      </c>
      <c r="D34" s="4" t="s">
        <v>24</v>
      </c>
      <c r="E34" s="4" t="s">
        <v>25</v>
      </c>
      <c r="F34" s="4" t="s">
        <v>279</v>
      </c>
      <c r="G34" s="4" t="s">
        <v>207</v>
      </c>
      <c r="H34" s="4">
        <v>9876500033</v>
      </c>
      <c r="I34" s="4" t="s">
        <v>96</v>
      </c>
      <c r="J34" s="4" t="s">
        <v>97</v>
      </c>
      <c r="K34" s="5">
        <v>44956</v>
      </c>
      <c r="L34" s="12">
        <v>820000</v>
      </c>
    </row>
    <row r="35" spans="1:12" x14ac:dyDescent="0.3">
      <c r="A35" s="11" t="s">
        <v>208</v>
      </c>
      <c r="B35" s="4" t="s">
        <v>209</v>
      </c>
      <c r="C35" s="4" t="s">
        <v>210</v>
      </c>
      <c r="D35" s="4" t="s">
        <v>32</v>
      </c>
      <c r="E35" s="4" t="s">
        <v>83</v>
      </c>
      <c r="F35" s="4" t="s">
        <v>280</v>
      </c>
      <c r="G35" s="4" t="s">
        <v>211</v>
      </c>
      <c r="H35" s="4">
        <v>9876500034</v>
      </c>
      <c r="I35" s="4" t="s">
        <v>212</v>
      </c>
      <c r="J35" s="4" t="s">
        <v>281</v>
      </c>
      <c r="K35" s="5">
        <v>44312</v>
      </c>
      <c r="L35" s="12">
        <v>430000</v>
      </c>
    </row>
    <row r="36" spans="1:12" x14ac:dyDescent="0.3">
      <c r="A36" s="11" t="s">
        <v>213</v>
      </c>
      <c r="B36" s="4" t="s">
        <v>214</v>
      </c>
      <c r="C36" s="4" t="s">
        <v>215</v>
      </c>
      <c r="D36" s="4" t="s">
        <v>24</v>
      </c>
      <c r="E36" s="4" t="s">
        <v>40</v>
      </c>
      <c r="F36" s="4" t="s">
        <v>282</v>
      </c>
      <c r="G36" s="4" t="s">
        <v>216</v>
      </c>
      <c r="H36" s="4">
        <v>9876500035</v>
      </c>
      <c r="I36" s="4" t="s">
        <v>50</v>
      </c>
      <c r="J36" s="4" t="s">
        <v>50</v>
      </c>
      <c r="K36" s="5">
        <v>43991</v>
      </c>
      <c r="L36" s="12">
        <v>740000</v>
      </c>
    </row>
    <row r="37" spans="1:12" x14ac:dyDescent="0.3">
      <c r="A37" s="11" t="s">
        <v>217</v>
      </c>
      <c r="B37" s="4" t="s">
        <v>218</v>
      </c>
      <c r="C37" s="4" t="s">
        <v>219</v>
      </c>
      <c r="D37" s="4" t="s">
        <v>32</v>
      </c>
      <c r="E37" s="4" t="s">
        <v>48</v>
      </c>
      <c r="F37" s="4" t="s">
        <v>283</v>
      </c>
      <c r="G37" s="4" t="s">
        <v>220</v>
      </c>
      <c r="H37" s="4">
        <v>9876500036</v>
      </c>
      <c r="I37" s="4" t="s">
        <v>221</v>
      </c>
      <c r="J37" s="4" t="s">
        <v>258</v>
      </c>
      <c r="K37" s="5">
        <v>44805</v>
      </c>
      <c r="L37" s="12">
        <v>610000</v>
      </c>
    </row>
    <row r="38" spans="1:12" x14ac:dyDescent="0.3">
      <c r="A38" s="11" t="s">
        <v>222</v>
      </c>
      <c r="B38" s="4" t="s">
        <v>223</v>
      </c>
      <c r="C38" s="4" t="s">
        <v>224</v>
      </c>
      <c r="D38" s="4" t="s">
        <v>24</v>
      </c>
      <c r="E38" s="4" t="s">
        <v>67</v>
      </c>
      <c r="F38" s="4" t="s">
        <v>284</v>
      </c>
      <c r="G38" s="4" t="s">
        <v>225</v>
      </c>
      <c r="H38" s="4">
        <v>9876500037</v>
      </c>
      <c r="I38" s="4" t="s">
        <v>226</v>
      </c>
      <c r="J38" s="4" t="s">
        <v>203</v>
      </c>
      <c r="K38" s="5">
        <v>43541</v>
      </c>
      <c r="L38" s="12">
        <v>550000</v>
      </c>
    </row>
    <row r="39" spans="1:12" x14ac:dyDescent="0.3">
      <c r="A39" s="11" t="s">
        <v>227</v>
      </c>
      <c r="B39" s="4" t="s">
        <v>228</v>
      </c>
      <c r="C39" s="4" t="s">
        <v>229</v>
      </c>
      <c r="D39" s="4" t="s">
        <v>32</v>
      </c>
      <c r="E39" s="4" t="s">
        <v>25</v>
      </c>
      <c r="F39" s="4" t="s">
        <v>285</v>
      </c>
      <c r="G39" s="4" t="s">
        <v>230</v>
      </c>
      <c r="H39" s="4">
        <v>9876500038</v>
      </c>
      <c r="I39" s="4" t="s">
        <v>231</v>
      </c>
      <c r="J39" s="4" t="s">
        <v>250</v>
      </c>
      <c r="K39" s="5">
        <v>44536</v>
      </c>
      <c r="L39" s="12">
        <v>730000</v>
      </c>
    </row>
    <row r="40" spans="1:12" x14ac:dyDescent="0.3">
      <c r="A40" s="11" t="s">
        <v>232</v>
      </c>
      <c r="B40" s="4" t="s">
        <v>233</v>
      </c>
      <c r="C40" s="4" t="s">
        <v>234</v>
      </c>
      <c r="D40" s="4" t="s">
        <v>24</v>
      </c>
      <c r="E40" s="4" t="s">
        <v>54</v>
      </c>
      <c r="F40" s="4" t="s">
        <v>286</v>
      </c>
      <c r="G40" s="4" t="s">
        <v>235</v>
      </c>
      <c r="H40" s="4">
        <v>9876500039</v>
      </c>
      <c r="I40" s="4" t="s">
        <v>236</v>
      </c>
      <c r="J40" s="4" t="s">
        <v>237</v>
      </c>
      <c r="K40" s="5">
        <v>43843</v>
      </c>
      <c r="L40" s="12">
        <v>790000</v>
      </c>
    </row>
    <row r="41" spans="1:12" x14ac:dyDescent="0.3">
      <c r="A41" s="16" t="s">
        <v>238</v>
      </c>
      <c r="B41" s="17" t="s">
        <v>239</v>
      </c>
      <c r="C41" s="17" t="s">
        <v>240</v>
      </c>
      <c r="D41" s="17" t="s">
        <v>32</v>
      </c>
      <c r="E41" s="17" t="s">
        <v>241</v>
      </c>
      <c r="F41" s="17" t="s">
        <v>287</v>
      </c>
      <c r="G41" s="17" t="s">
        <v>242</v>
      </c>
      <c r="H41" s="17">
        <v>9876500040</v>
      </c>
      <c r="I41" s="17" t="s">
        <v>243</v>
      </c>
      <c r="J41" s="17" t="s">
        <v>63</v>
      </c>
      <c r="K41" s="18">
        <v>45098</v>
      </c>
      <c r="L41" s="19">
        <v>490000</v>
      </c>
    </row>
    <row r="46" spans="1:12" ht="25.8" x14ac:dyDescent="0.5">
      <c r="B46" s="7" t="s">
        <v>1</v>
      </c>
      <c r="D46" s="7" t="s">
        <v>14</v>
      </c>
    </row>
    <row r="47" spans="1:12" ht="18" x14ac:dyDescent="0.35">
      <c r="A47" t="s">
        <v>208</v>
      </c>
      <c r="B47" s="8" t="str">
        <f>VLOOKUP(A47,A1:L41,2,0)</f>
        <v>Muskan</v>
      </c>
      <c r="D47" s="8" t="str">
        <f>VLOOKUP(A47,A1:N41,5,0)</f>
        <v>Support</v>
      </c>
    </row>
    <row r="49" spans="1:10" ht="25.8" x14ac:dyDescent="0.5">
      <c r="C49" s="6" t="s">
        <v>288</v>
      </c>
    </row>
    <row r="50" spans="1:10" ht="18" x14ac:dyDescent="0.35">
      <c r="C50" s="3">
        <f>VLOOKUP(A47,A1:L41,8,0)</f>
        <v>9876500034</v>
      </c>
    </row>
    <row r="51" spans="1:10" x14ac:dyDescent="0.3">
      <c r="F51" s="1" t="s">
        <v>0</v>
      </c>
      <c r="G51" s="1" t="s">
        <v>1</v>
      </c>
      <c r="H51" s="1" t="s">
        <v>2</v>
      </c>
      <c r="I51" s="1" t="s">
        <v>3</v>
      </c>
      <c r="J51" s="1" t="s">
        <v>4</v>
      </c>
    </row>
    <row r="52" spans="1:10" x14ac:dyDescent="0.3">
      <c r="F52" s="2">
        <v>101</v>
      </c>
      <c r="G52" s="2" t="s">
        <v>5</v>
      </c>
      <c r="H52" s="2">
        <v>20000</v>
      </c>
      <c r="I52" s="2">
        <v>190</v>
      </c>
      <c r="J52" s="2">
        <f>H52+I52</f>
        <v>20190</v>
      </c>
    </row>
    <row r="53" spans="1:10" x14ac:dyDescent="0.3">
      <c r="F53" s="2">
        <v>102</v>
      </c>
      <c r="G53" s="2" t="s">
        <v>6</v>
      </c>
      <c r="H53" s="2">
        <v>20000</v>
      </c>
      <c r="I53" s="2">
        <v>270</v>
      </c>
      <c r="J53" s="2">
        <f>H53+I53</f>
        <v>20270</v>
      </c>
    </row>
    <row r="54" spans="1:10" x14ac:dyDescent="0.3">
      <c r="F54" s="2">
        <v>103</v>
      </c>
      <c r="G54" s="2" t="s">
        <v>7</v>
      </c>
      <c r="H54" s="2">
        <v>20000</v>
      </c>
      <c r="I54" s="2">
        <v>140</v>
      </c>
      <c r="J54" s="2">
        <f>H54+I54</f>
        <v>20140</v>
      </c>
    </row>
    <row r="55" spans="1:10" ht="21" x14ac:dyDescent="0.4">
      <c r="A55" s="4" t="s">
        <v>289</v>
      </c>
      <c r="B55" s="10" t="str">
        <f>VLOOKUP(D55,A1:L41,2,0)</f>
        <v>Karan</v>
      </c>
      <c r="D55" t="s">
        <v>109</v>
      </c>
      <c r="F55" s="2">
        <v>104</v>
      </c>
      <c r="G55" s="2" t="s">
        <v>8</v>
      </c>
      <c r="H55" s="2">
        <v>20000</v>
      </c>
      <c r="I55" s="2">
        <v>200</v>
      </c>
      <c r="J55" s="2">
        <f>H55+I55</f>
        <v>20200</v>
      </c>
    </row>
    <row r="56" spans="1:10" ht="21" x14ac:dyDescent="0.4">
      <c r="A56" s="4" t="s">
        <v>290</v>
      </c>
      <c r="B56" s="10" t="str">
        <f>VLOOKUP(D56,A1:L41,5,0)</f>
        <v>Sales</v>
      </c>
      <c r="D56" t="s">
        <v>155</v>
      </c>
      <c r="F56" s="2">
        <v>105</v>
      </c>
      <c r="G56" s="2" t="s">
        <v>9</v>
      </c>
      <c r="H56" s="2">
        <v>20000</v>
      </c>
      <c r="I56" s="2">
        <v>50</v>
      </c>
      <c r="J56" s="2">
        <f>H56+I56</f>
        <v>20050</v>
      </c>
    </row>
    <row r="57" spans="1:10" ht="21" x14ac:dyDescent="0.4">
      <c r="A57" s="9" t="s">
        <v>298</v>
      </c>
      <c r="B57" s="10">
        <f>VLOOKUP(D57,A1:L41,12,0)</f>
        <v>630000</v>
      </c>
      <c r="D57" t="s">
        <v>75</v>
      </c>
    </row>
    <row r="58" spans="1:10" ht="21" x14ac:dyDescent="0.4">
      <c r="A58" s="4" t="s">
        <v>291</v>
      </c>
      <c r="B58" s="10" t="str">
        <f>VLOOKUP(D58,A1:L41,9,0)</f>
        <v>Dehradun</v>
      </c>
      <c r="D58" t="s">
        <v>198</v>
      </c>
    </row>
    <row r="59" spans="1:10" ht="21" x14ac:dyDescent="0.4">
      <c r="A59" s="4" t="s">
        <v>292</v>
      </c>
      <c r="B59" s="10">
        <f>VLOOKUP(D59,A2:L42,11,0)</f>
        <v>44505</v>
      </c>
      <c r="D59" t="s">
        <v>51</v>
      </c>
    </row>
    <row r="60" spans="1:10" ht="21" x14ac:dyDescent="0.4">
      <c r="A60" s="4" t="s">
        <v>293</v>
      </c>
      <c r="B60" s="10">
        <f>VLOOKUP(D60,A3:L43,12,0)</f>
        <v>520000</v>
      </c>
      <c r="D60" t="s">
        <v>171</v>
      </c>
    </row>
    <row r="61" spans="1:10" ht="21" x14ac:dyDescent="0.4">
      <c r="A61" s="4" t="s">
        <v>294</v>
      </c>
      <c r="B61" s="10" t="str">
        <f>VLOOKUP(D61,A4:L44,5,0)</f>
        <v>IT</v>
      </c>
      <c r="D61" t="s">
        <v>227</v>
      </c>
    </row>
    <row r="62" spans="1:10" ht="21" x14ac:dyDescent="0.4">
      <c r="A62" s="4" t="s">
        <v>295</v>
      </c>
      <c r="B62" s="10" t="str">
        <f>VLOOKUP(D62,A5:L45,2,0)</f>
        <v>Harsh</v>
      </c>
      <c r="D62" t="s">
        <v>130</v>
      </c>
    </row>
    <row r="63" spans="1:10" ht="21" x14ac:dyDescent="0.4">
      <c r="A63" s="4" t="s">
        <v>296</v>
      </c>
      <c r="B63" s="10" t="str">
        <f t="shared" ref="B59:B64" si="0">VLOOKUP(D63,A6:L46,9,0)</f>
        <v>Bhubaneswar</v>
      </c>
      <c r="D63" t="s">
        <v>185</v>
      </c>
    </row>
    <row r="64" spans="1:10" ht="21" x14ac:dyDescent="0.4">
      <c r="A64" s="4" t="s">
        <v>297</v>
      </c>
      <c r="B64" s="10">
        <f>VLOOKUP(D64,A7:L47,11,0)</f>
        <v>45098</v>
      </c>
      <c r="D64" t="s">
        <v>238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Patil</dc:creator>
  <cp:lastModifiedBy>Vaishnavi Patil</cp:lastModifiedBy>
  <dcterms:created xsi:type="dcterms:W3CDTF">2026-07-12T07:21:01Z</dcterms:created>
  <dcterms:modified xsi:type="dcterms:W3CDTF">2026-07-13T07:30:18Z</dcterms:modified>
</cp:coreProperties>
</file>