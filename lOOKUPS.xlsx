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Business Analytics\Data Analytics\Excel\Excel By Abhishek Sir\Solved Questions\"/>
    </mc:Choice>
  </mc:AlternateContent>
  <xr:revisionPtr revIDLastSave="0" documentId="13_ncr:1_{FA6E75F7-7FDC-4BCE-BE01-071B1764CC18}" xr6:coauthVersionLast="47" xr6:coauthVersionMax="47" xr10:uidLastSave="{00000000-0000-0000-0000-000000000000}"/>
  <bookViews>
    <workbookView xWindow="-108" yWindow="-108" windowWidth="23256" windowHeight="13176" xr2:uid="{F0C30A8A-2AFA-44BC-8321-470F4805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1" l="1"/>
  <c r="O21" i="1"/>
  <c r="Q10" i="1"/>
  <c r="Q9" i="1"/>
  <c r="Q8" i="1"/>
  <c r="I26" i="1"/>
  <c r="I25" i="1"/>
  <c r="I24" i="1"/>
  <c r="I23" i="1"/>
  <c r="I22" i="1"/>
  <c r="F22" i="1"/>
  <c r="F23" i="1"/>
</calcChain>
</file>

<file path=xl/sharedStrings.xml><?xml version="1.0" encoding="utf-8"?>
<sst xmlns="http://schemas.openxmlformats.org/spreadsheetml/2006/main" count="107" uniqueCount="48">
  <si>
    <t>ID</t>
  </si>
  <si>
    <t>Name</t>
  </si>
  <si>
    <t>City</t>
  </si>
  <si>
    <t>Age</t>
  </si>
  <si>
    <t>Gender</t>
  </si>
  <si>
    <t>Salary</t>
  </si>
  <si>
    <t>Department</t>
  </si>
  <si>
    <t>Experience</t>
  </si>
  <si>
    <t>Performance</t>
  </si>
  <si>
    <t>Rahul</t>
  </si>
  <si>
    <t>Pune</t>
  </si>
  <si>
    <t>Male</t>
  </si>
  <si>
    <t>Sales</t>
  </si>
  <si>
    <t>Good</t>
  </si>
  <si>
    <t>Priya</t>
  </si>
  <si>
    <t>Mumbai</t>
  </si>
  <si>
    <t>Female</t>
  </si>
  <si>
    <t>HR</t>
  </si>
  <si>
    <t>Excellent</t>
  </si>
  <si>
    <t>Amit</t>
  </si>
  <si>
    <t>Solapur</t>
  </si>
  <si>
    <t>IT</t>
  </si>
  <si>
    <t>Sneha</t>
  </si>
  <si>
    <t>Finance</t>
  </si>
  <si>
    <t>Average</t>
  </si>
  <si>
    <t>Raj</t>
  </si>
  <si>
    <t>Neha</t>
  </si>
  <si>
    <t>Nashik</t>
  </si>
  <si>
    <t>Akash</t>
  </si>
  <si>
    <t>Pooja</t>
  </si>
  <si>
    <t>Karan</t>
  </si>
  <si>
    <t>Riya</t>
  </si>
  <si>
    <t>Vijay</t>
  </si>
  <si>
    <t>Anjali</t>
  </si>
  <si>
    <t>Rohit</t>
  </si>
  <si>
    <t>Meera</t>
  </si>
  <si>
    <t>Sagar</t>
  </si>
  <si>
    <t>VLOOKUP VALUE=</t>
  </si>
  <si>
    <t>ENTER VALUE THAT U WANT TO SEARCH=</t>
  </si>
  <si>
    <t>A</t>
  </si>
  <si>
    <t>B</t>
  </si>
  <si>
    <t>C</t>
  </si>
  <si>
    <t>D</t>
  </si>
  <si>
    <t>Column1</t>
  </si>
  <si>
    <t>AMIT</t>
  </si>
  <si>
    <t>HLOOKUP =</t>
  </si>
  <si>
    <t>INDEX &amp; MATCH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</si>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</sst>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17C8F-7869-42FF-852B-F35FE511ABAA}" name="Table1" displayName="Table1" ref="A1:I16" totalsRowShown="0" headerRowDxfId="7" dataDxfId="8">
  <autoFilter ref="A1:I16" xr:uid="{58017C8F-7869-42FF-852B-F35FE511ABAA}"/>
  <tableColumns count="9">
    <tableColumn id="1" xr3:uid="{E689BF02-9622-4B16-8716-0733C1C7547A}" name="ID" dataDxfId="17"/>
    <tableColumn id="2" xr3:uid="{997842BA-68E7-44CD-BF8D-ECD0ADB608EA}" name="Name" dataDxfId="16"/>
    <tableColumn id="3" xr3:uid="{69810323-DA81-467E-B2A4-7F3401E88967}" name="City" dataDxfId="15"/>
    <tableColumn id="4" xr3:uid="{227D102C-4881-46B1-ADBD-F6AFEB72EBBC}" name="Age" dataDxfId="14"/>
    <tableColumn id="5" xr3:uid="{E857C7A6-B804-449B-8BC2-73AA60F4454F}" name="Gender" dataDxfId="13"/>
    <tableColumn id="6" xr3:uid="{99336C77-EA78-4A77-AABD-C800D1A939D8}" name="Salary" dataDxfId="12"/>
    <tableColumn id="7" xr3:uid="{D2D18228-7DCA-4243-BB54-42ABECDC16DC}" name="Department" dataDxfId="11"/>
    <tableColumn id="8" xr3:uid="{A5CE6018-0639-4616-967A-AEED73C28CD0}" name="Experience" dataDxfId="10"/>
    <tableColumn id="9" xr3:uid="{7A5AFE1F-04B3-420D-AA49-63FBF480B310}" name="Performanc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816670-0246-4E35-85D4-C24D2DB5075B}" name="Table2" displayName="Table2" ref="N1:R5" totalsRowShown="0" headerRowDxfId="0" dataDxfId="1">
  <autoFilter ref="N1:R5" xr:uid="{F0816670-0246-4E35-85D4-C24D2DB5075B}"/>
  <tableColumns count="5">
    <tableColumn id="1" xr3:uid="{235A77B4-1E46-47EC-BF5F-6338DDC535B7}" name="Column1" dataDxfId="6"/>
    <tableColumn id="2" xr3:uid="{3D6FFDFC-49DF-48A0-A496-D85E8E8F30BA}" name="A" dataDxfId="5"/>
    <tableColumn id="3" xr3:uid="{327EABF5-B286-4EFA-9C77-F929649034B4}" name="B" dataDxfId="4"/>
    <tableColumn id="4" xr3:uid="{A20C0527-9B59-4D2F-8347-CF233608AF36}" name="C" dataDxfId="3"/>
    <tableColumn id="5" xr3:uid="{C55723C1-E801-42B7-9A8E-C1CC0762C3B8}" name="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A533-6500-49C3-91A5-3F95CD9D45BC}">
  <dimension ref="A1:R26"/>
  <sheetViews>
    <sheetView tabSelected="1" workbookViewId="0">
      <selection activeCell="O23" sqref="O23"/>
    </sheetView>
  </sheetViews>
  <sheetFormatPr defaultRowHeight="14.4" x14ac:dyDescent="0.3"/>
  <cols>
    <col min="5" max="5" width="9" customWidth="1"/>
    <col min="7" max="7" width="13" customWidth="1"/>
    <col min="8" max="8" width="12" customWidth="1"/>
    <col min="9" max="9" width="13.77734375" customWidth="1"/>
    <col min="14" max="14" width="10.44140625" customWidth="1"/>
  </cols>
  <sheetData>
    <row r="1" spans="1:18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N1" s="3" t="s">
        <v>43</v>
      </c>
      <c r="O1" s="3" t="s">
        <v>39</v>
      </c>
      <c r="P1" s="3" t="s">
        <v>40</v>
      </c>
      <c r="Q1" s="3" t="s">
        <v>41</v>
      </c>
      <c r="R1" s="3" t="s">
        <v>42</v>
      </c>
    </row>
    <row r="2" spans="1:18" x14ac:dyDescent="0.3">
      <c r="A2" s="1">
        <v>101</v>
      </c>
      <c r="B2" s="4" t="s">
        <v>9</v>
      </c>
      <c r="C2" s="4" t="s">
        <v>10</v>
      </c>
      <c r="D2" s="1">
        <v>25</v>
      </c>
      <c r="E2" s="4" t="s">
        <v>11</v>
      </c>
      <c r="F2" s="1">
        <v>30000</v>
      </c>
      <c r="G2" s="4" t="s">
        <v>12</v>
      </c>
      <c r="H2" s="1">
        <v>1</v>
      </c>
      <c r="I2" s="4" t="s">
        <v>13</v>
      </c>
      <c r="N2" s="5" t="s">
        <v>0</v>
      </c>
      <c r="O2" s="4">
        <v>101</v>
      </c>
      <c r="P2" s="4">
        <v>102</v>
      </c>
      <c r="Q2" s="4">
        <v>103</v>
      </c>
      <c r="R2" s="4">
        <v>104</v>
      </c>
    </row>
    <row r="3" spans="1:18" x14ac:dyDescent="0.3">
      <c r="A3" s="1">
        <v>102</v>
      </c>
      <c r="B3" s="4" t="s">
        <v>14</v>
      </c>
      <c r="C3" s="4" t="s">
        <v>15</v>
      </c>
      <c r="D3" s="1">
        <v>28</v>
      </c>
      <c r="E3" s="4" t="s">
        <v>16</v>
      </c>
      <c r="F3" s="1">
        <v>35000</v>
      </c>
      <c r="G3" s="4" t="s">
        <v>17</v>
      </c>
      <c r="H3" s="1">
        <v>2</v>
      </c>
      <c r="I3" s="4" t="s">
        <v>18</v>
      </c>
      <c r="N3" s="5" t="s">
        <v>1</v>
      </c>
      <c r="O3" s="4" t="s">
        <v>9</v>
      </c>
      <c r="P3" s="4" t="s">
        <v>14</v>
      </c>
      <c r="Q3" s="4" t="s">
        <v>19</v>
      </c>
      <c r="R3" s="4" t="s">
        <v>22</v>
      </c>
    </row>
    <row r="4" spans="1:18" x14ac:dyDescent="0.3">
      <c r="A4" s="1">
        <v>103</v>
      </c>
      <c r="B4" s="4" t="s">
        <v>19</v>
      </c>
      <c r="C4" s="4" t="s">
        <v>20</v>
      </c>
      <c r="D4" s="1">
        <v>32</v>
      </c>
      <c r="E4" s="4" t="s">
        <v>11</v>
      </c>
      <c r="F4" s="1">
        <v>40000</v>
      </c>
      <c r="G4" s="4" t="s">
        <v>21</v>
      </c>
      <c r="H4" s="1">
        <v>4</v>
      </c>
      <c r="I4" s="4" t="s">
        <v>13</v>
      </c>
      <c r="N4" s="5" t="s">
        <v>2</v>
      </c>
      <c r="O4" s="4" t="s">
        <v>10</v>
      </c>
      <c r="P4" s="4" t="s">
        <v>15</v>
      </c>
      <c r="Q4" s="4" t="s">
        <v>20</v>
      </c>
      <c r="R4" s="4" t="s">
        <v>10</v>
      </c>
    </row>
    <row r="5" spans="1:18" x14ac:dyDescent="0.3">
      <c r="A5" s="1">
        <v>104</v>
      </c>
      <c r="B5" s="4" t="s">
        <v>22</v>
      </c>
      <c r="C5" s="4" t="s">
        <v>10</v>
      </c>
      <c r="D5" s="1">
        <v>28</v>
      </c>
      <c r="E5" s="4" t="s">
        <v>16</v>
      </c>
      <c r="F5" s="1">
        <v>35000</v>
      </c>
      <c r="G5" s="4" t="s">
        <v>23</v>
      </c>
      <c r="H5" s="1">
        <v>3</v>
      </c>
      <c r="I5" s="4" t="s">
        <v>24</v>
      </c>
      <c r="N5" s="5" t="s">
        <v>5</v>
      </c>
      <c r="O5" s="4">
        <v>30000</v>
      </c>
      <c r="P5" s="4">
        <v>35000</v>
      </c>
      <c r="Q5" s="4">
        <v>40000</v>
      </c>
      <c r="R5" s="4">
        <v>35000</v>
      </c>
    </row>
    <row r="6" spans="1:18" x14ac:dyDescent="0.3">
      <c r="A6" s="1">
        <v>105</v>
      </c>
      <c r="B6" s="4" t="s">
        <v>25</v>
      </c>
      <c r="C6" s="4" t="s">
        <v>15</v>
      </c>
      <c r="D6" s="1">
        <v>35</v>
      </c>
      <c r="E6" s="4" t="s">
        <v>11</v>
      </c>
      <c r="F6" s="1">
        <v>45000</v>
      </c>
      <c r="G6" s="4" t="s">
        <v>21</v>
      </c>
      <c r="H6" s="1">
        <v>6</v>
      </c>
      <c r="I6" s="4" t="s">
        <v>18</v>
      </c>
    </row>
    <row r="7" spans="1:18" ht="28.8" x14ac:dyDescent="0.55000000000000004">
      <c r="A7" s="1">
        <v>106</v>
      </c>
      <c r="B7" s="4" t="s">
        <v>26</v>
      </c>
      <c r="C7" s="4" t="s">
        <v>27</v>
      </c>
      <c r="D7" s="1">
        <v>31</v>
      </c>
      <c r="E7" s="4" t="s">
        <v>16</v>
      </c>
      <c r="F7" s="1">
        <v>42000</v>
      </c>
      <c r="G7" s="4" t="s">
        <v>12</v>
      </c>
      <c r="H7" s="1">
        <v>5</v>
      </c>
      <c r="I7" s="4" t="s">
        <v>13</v>
      </c>
      <c r="N7" s="6" t="s">
        <v>45</v>
      </c>
    </row>
    <row r="8" spans="1:18" x14ac:dyDescent="0.3">
      <c r="A8" s="1">
        <v>107</v>
      </c>
      <c r="B8" s="4" t="s">
        <v>28</v>
      </c>
      <c r="C8" s="4" t="s">
        <v>10</v>
      </c>
      <c r="D8" s="1">
        <v>26</v>
      </c>
      <c r="E8" s="4" t="s">
        <v>11</v>
      </c>
      <c r="F8" s="1">
        <v>32000</v>
      </c>
      <c r="G8" s="4" t="s">
        <v>17</v>
      </c>
      <c r="H8" s="1">
        <v>2</v>
      </c>
      <c r="I8" s="4" t="s">
        <v>24</v>
      </c>
      <c r="Q8" t="str">
        <f>HLOOKUP(Q2,Table2[],2,FALSE)</f>
        <v>Amit</v>
      </c>
    </row>
    <row r="9" spans="1:18" x14ac:dyDescent="0.3">
      <c r="A9" s="1">
        <v>108</v>
      </c>
      <c r="B9" s="4" t="s">
        <v>29</v>
      </c>
      <c r="C9" s="4" t="s">
        <v>20</v>
      </c>
      <c r="D9" s="1">
        <v>30</v>
      </c>
      <c r="E9" s="4" t="s">
        <v>16</v>
      </c>
      <c r="F9" s="1">
        <v>38000</v>
      </c>
      <c r="G9" s="4" t="s">
        <v>21</v>
      </c>
      <c r="H9" s="1">
        <v>4</v>
      </c>
      <c r="I9" s="4" t="s">
        <v>13</v>
      </c>
      <c r="Q9" t="str">
        <f>HLOOKUP(Q2,Table2[],3,FALSE)</f>
        <v>Solapur</v>
      </c>
    </row>
    <row r="10" spans="1:18" x14ac:dyDescent="0.3">
      <c r="A10" s="1">
        <v>109</v>
      </c>
      <c r="B10" s="4" t="s">
        <v>30</v>
      </c>
      <c r="C10" s="4" t="s">
        <v>15</v>
      </c>
      <c r="D10" s="1">
        <v>34</v>
      </c>
      <c r="E10" s="4" t="s">
        <v>11</v>
      </c>
      <c r="F10" s="1">
        <v>50000</v>
      </c>
      <c r="G10" s="4" t="s">
        <v>23</v>
      </c>
      <c r="H10" s="1">
        <v>7</v>
      </c>
      <c r="I10" s="4" t="s">
        <v>18</v>
      </c>
      <c r="Q10">
        <f>HLOOKUP(P2,Table2[],4,FALSE)</f>
        <v>35000</v>
      </c>
    </row>
    <row r="11" spans="1:18" x14ac:dyDescent="0.3">
      <c r="A11" s="1">
        <v>110</v>
      </c>
      <c r="B11" s="4" t="s">
        <v>31</v>
      </c>
      <c r="C11" s="4" t="s">
        <v>27</v>
      </c>
      <c r="D11" s="1">
        <v>27</v>
      </c>
      <c r="E11" s="4" t="s">
        <v>16</v>
      </c>
      <c r="F11" s="1">
        <v>33000</v>
      </c>
      <c r="G11" s="4" t="s">
        <v>12</v>
      </c>
      <c r="H11" s="1">
        <v>2</v>
      </c>
      <c r="I11" s="4" t="s">
        <v>13</v>
      </c>
    </row>
    <row r="12" spans="1:18" x14ac:dyDescent="0.3">
      <c r="A12" s="1">
        <v>111</v>
      </c>
      <c r="B12" s="4" t="s">
        <v>32</v>
      </c>
      <c r="C12" s="4" t="s">
        <v>10</v>
      </c>
      <c r="D12" s="1">
        <v>40</v>
      </c>
      <c r="E12" s="4" t="s">
        <v>11</v>
      </c>
      <c r="F12" s="1">
        <v>60000</v>
      </c>
      <c r="G12" s="4" t="s">
        <v>21</v>
      </c>
      <c r="H12" s="1">
        <v>10</v>
      </c>
      <c r="I12" s="4" t="s">
        <v>18</v>
      </c>
    </row>
    <row r="13" spans="1:18" x14ac:dyDescent="0.3">
      <c r="A13" s="1">
        <v>112</v>
      </c>
      <c r="B13" s="4" t="s">
        <v>33</v>
      </c>
      <c r="C13" s="4" t="s">
        <v>15</v>
      </c>
      <c r="D13" s="1">
        <v>29</v>
      </c>
      <c r="E13" s="4" t="s">
        <v>16</v>
      </c>
      <c r="F13" s="1">
        <v>36000</v>
      </c>
      <c r="G13" s="4" t="s">
        <v>17</v>
      </c>
      <c r="H13" s="1">
        <v>3</v>
      </c>
      <c r="I13" s="4" t="s">
        <v>13</v>
      </c>
    </row>
    <row r="14" spans="1:18" x14ac:dyDescent="0.3">
      <c r="A14" s="1">
        <v>113</v>
      </c>
      <c r="B14" s="4" t="s">
        <v>34</v>
      </c>
      <c r="C14" s="4" t="s">
        <v>20</v>
      </c>
      <c r="D14" s="1">
        <v>33</v>
      </c>
      <c r="E14" s="4" t="s">
        <v>11</v>
      </c>
      <c r="F14" s="1">
        <v>48000</v>
      </c>
      <c r="G14" s="4" t="s">
        <v>23</v>
      </c>
      <c r="H14" s="1">
        <v>6</v>
      </c>
      <c r="I14" s="4" t="s">
        <v>24</v>
      </c>
    </row>
    <row r="15" spans="1:18" x14ac:dyDescent="0.3">
      <c r="A15" s="1">
        <v>114</v>
      </c>
      <c r="B15" s="4" t="s">
        <v>35</v>
      </c>
      <c r="C15" s="4" t="s">
        <v>27</v>
      </c>
      <c r="D15" s="1">
        <v>36</v>
      </c>
      <c r="E15" s="4" t="s">
        <v>16</v>
      </c>
      <c r="F15" s="1">
        <v>52000</v>
      </c>
      <c r="G15" s="4" t="s">
        <v>21</v>
      </c>
      <c r="H15" s="1">
        <v>8</v>
      </c>
      <c r="I15" s="4" t="s">
        <v>18</v>
      </c>
    </row>
    <row r="16" spans="1:18" x14ac:dyDescent="0.3">
      <c r="A16" s="1">
        <v>115</v>
      </c>
      <c r="B16" s="4" t="s">
        <v>36</v>
      </c>
      <c r="C16" s="4" t="s">
        <v>10</v>
      </c>
      <c r="D16" s="1">
        <v>24</v>
      </c>
      <c r="E16" s="4" t="s">
        <v>11</v>
      </c>
      <c r="F16" s="1">
        <v>28000</v>
      </c>
      <c r="G16" s="4" t="s">
        <v>12</v>
      </c>
      <c r="H16" s="1">
        <v>1</v>
      </c>
      <c r="I16" s="4" t="s">
        <v>24</v>
      </c>
    </row>
    <row r="19" spans="1:15" ht="28.8" x14ac:dyDescent="0.55000000000000004">
      <c r="A19" s="6" t="s">
        <v>37</v>
      </c>
      <c r="I19" s="6" t="s">
        <v>46</v>
      </c>
      <c r="O19" s="6" t="s">
        <v>47</v>
      </c>
    </row>
    <row r="20" spans="1:15" x14ac:dyDescent="0.3">
      <c r="I20" t="s">
        <v>44</v>
      </c>
    </row>
    <row r="21" spans="1:15" x14ac:dyDescent="0.3">
      <c r="B21" t="s">
        <v>38</v>
      </c>
      <c r="F21">
        <v>105</v>
      </c>
      <c r="O21" t="str">
        <f>IFERROR(VLOOKUP(D22,A2:I16,2,FALSE),"Not Found")</f>
        <v>Not Found</v>
      </c>
    </row>
    <row r="22" spans="1:15" x14ac:dyDescent="0.3">
      <c r="F22">
        <f>VLOOKUP(F21,Table1[],8,FALSE)</f>
        <v>6</v>
      </c>
      <c r="I22">
        <f>MATCH(A6,Table1[ID],0)</f>
        <v>5</v>
      </c>
      <c r="O22" t="str">
        <f>IFERROR(VLOOKUP(F21,Table1[],2,FALSE),"NOT FOUND")</f>
        <v>Raj</v>
      </c>
    </row>
    <row r="23" spans="1:15" x14ac:dyDescent="0.3">
      <c r="F23" t="str">
        <f>VLOOKUP(F21,Table1[],3,FALSE)</f>
        <v>Mumbai</v>
      </c>
      <c r="I23" t="str">
        <f>INDEX(Table1[Name],5)</f>
        <v>Raj</v>
      </c>
    </row>
    <row r="24" spans="1:15" x14ac:dyDescent="0.3">
      <c r="I24" t="str">
        <f>INDEX(Table1[Name],MATCH(A6,Table1[ID],0))</f>
        <v>Raj</v>
      </c>
    </row>
    <row r="25" spans="1:15" x14ac:dyDescent="0.3">
      <c r="I25">
        <f>INDEX(Table1[ID],MATCH(B6,Table1[Name],0))</f>
        <v>105</v>
      </c>
    </row>
    <row r="26" spans="1:15" x14ac:dyDescent="0.3">
      <c r="I26">
        <f>INDEX(Table1[ID],MATCH(I20,Table1[Name],0))</f>
        <v>103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Patil</dc:creator>
  <cp:lastModifiedBy>Vaishnavi Patil</cp:lastModifiedBy>
  <dcterms:created xsi:type="dcterms:W3CDTF">2026-09-04T07:46:23Z</dcterms:created>
  <dcterms:modified xsi:type="dcterms:W3CDTF">2026-09-04T08:45:48Z</dcterms:modified>
</cp:coreProperties>
</file>