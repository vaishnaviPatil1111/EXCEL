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Business Analytics\Data Analytics\Excel\Excel By Abhishek Sir\Solved Questions\"/>
    </mc:Choice>
  </mc:AlternateContent>
  <xr:revisionPtr revIDLastSave="0" documentId="13_ncr:1_{763C3FA8-6445-459A-B3CE-D99EDB3C0D63}" xr6:coauthVersionLast="47" xr6:coauthVersionMax="47" xr10:uidLastSave="{00000000-0000-0000-0000-000000000000}"/>
  <bookViews>
    <workbookView xWindow="-108" yWindow="-108" windowWidth="23256" windowHeight="13176" xr2:uid="{0D1A3B9B-0C36-484D-83F1-E793F9B71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1" i="1"/>
  <c r="F10" i="1"/>
  <c r="E10" i="1"/>
  <c r="D10" i="1"/>
  <c r="D9" i="1"/>
  <c r="E8" i="1"/>
  <c r="D8" i="1"/>
  <c r="E7" i="1"/>
  <c r="G7" i="1"/>
  <c r="D7" i="1"/>
  <c r="F2" i="1"/>
  <c r="F3" i="1"/>
  <c r="F4" i="1"/>
  <c r="F5" i="1"/>
  <c r="F6" i="1"/>
  <c r="I16" i="1"/>
  <c r="I17" i="1"/>
  <c r="I18" i="1"/>
  <c r="I19" i="1"/>
  <c r="I20" i="1"/>
  <c r="H16" i="1"/>
  <c r="H17" i="1"/>
  <c r="H18" i="1"/>
  <c r="H19" i="1"/>
  <c r="H20" i="1"/>
  <c r="H27" i="1"/>
  <c r="L19" i="1"/>
  <c r="L16" i="1"/>
  <c r="L17" i="1"/>
  <c r="L18" i="1"/>
  <c r="L20" i="1"/>
  <c r="I2" i="1"/>
  <c r="I3" i="1"/>
  <c r="I4" i="1"/>
  <c r="I5" i="1"/>
  <c r="I6" i="1"/>
  <c r="G26" i="1"/>
  <c r="G25" i="1"/>
  <c r="G24" i="1"/>
  <c r="G23" i="1"/>
  <c r="G22" i="1"/>
  <c r="G21" i="1"/>
  <c r="F16" i="1"/>
  <c r="F17" i="1"/>
  <c r="F18" i="1"/>
  <c r="F20" i="1"/>
  <c r="F19" i="1"/>
  <c r="K16" i="1"/>
  <c r="K17" i="1"/>
  <c r="K18" i="1"/>
  <c r="K20" i="1"/>
  <c r="K19" i="1"/>
  <c r="H2" i="1"/>
  <c r="H3" i="1"/>
  <c r="H4" i="1"/>
  <c r="H5" i="1"/>
  <c r="H6" i="1"/>
  <c r="E16" i="1"/>
  <c r="E17" i="1"/>
  <c r="E18" i="1"/>
  <c r="E19" i="1"/>
  <c r="E20" i="1"/>
  <c r="C16" i="1"/>
  <c r="C17" i="1"/>
  <c r="C18" i="1"/>
  <c r="C19" i="1"/>
  <c r="C20" i="1"/>
  <c r="K21" i="1" l="1"/>
</calcChain>
</file>

<file path=xl/sharedStrings.xml><?xml version="1.0" encoding="utf-8"?>
<sst xmlns="http://schemas.openxmlformats.org/spreadsheetml/2006/main" count="67" uniqueCount="46">
  <si>
    <t>Patient_ID</t>
  </si>
  <si>
    <t>Name</t>
  </si>
  <si>
    <t>City</t>
  </si>
  <si>
    <t>Age</t>
  </si>
  <si>
    <t>Gender</t>
  </si>
  <si>
    <t>Salary</t>
  </si>
  <si>
    <t>P001</t>
  </si>
  <si>
    <t>Rahul</t>
  </si>
  <si>
    <t>Mumbai</t>
  </si>
  <si>
    <t>Male</t>
  </si>
  <si>
    <t>P002</t>
  </si>
  <si>
    <t>Priya</t>
  </si>
  <si>
    <t>Pune</t>
  </si>
  <si>
    <t>Female</t>
  </si>
  <si>
    <t>P003</t>
  </si>
  <si>
    <t>Amit</t>
  </si>
  <si>
    <t>P004</t>
  </si>
  <si>
    <t>Sneha</t>
  </si>
  <si>
    <t>pune</t>
  </si>
  <si>
    <t>P005</t>
  </si>
  <si>
    <t>Raj</t>
  </si>
  <si>
    <t>ID</t>
  </si>
  <si>
    <t>blank</t>
  </si>
  <si>
    <t>mumbai</t>
  </si>
  <si>
    <t>Clean City</t>
  </si>
  <si>
    <t>Clean Name</t>
  </si>
  <si>
    <t>Salary Category</t>
  </si>
  <si>
    <t>ColAge Category</t>
  </si>
  <si>
    <t>SUM AGE</t>
  </si>
  <si>
    <t>AVG AGE</t>
  </si>
  <si>
    <t>COUNT</t>
  </si>
  <si>
    <t>COUNTA</t>
  </si>
  <si>
    <t>MIN</t>
  </si>
  <si>
    <t>MAX</t>
  </si>
  <si>
    <t>OR CONDITION</t>
  </si>
  <si>
    <t>Eligilibility</t>
  </si>
  <si>
    <t>NOT OPERATION</t>
  </si>
  <si>
    <t>AGE CATEGORIES NOT CONDITION</t>
  </si>
  <si>
    <t>NOT + OR+IF</t>
  </si>
  <si>
    <t>COUNTIF</t>
  </si>
  <si>
    <t>COUNTIF=</t>
  </si>
  <si>
    <t>SUMIF=</t>
  </si>
  <si>
    <t>AVERAGEIF=</t>
  </si>
  <si>
    <t>COUNTIFS</t>
  </si>
  <si>
    <t>SUMIFS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</si>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</sst>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45780-5037-4DEB-BA5E-A9642155A332}" name="Table1" displayName="Table1" ref="A1:I7" totalsRowCount="1" headerRowDxfId="50" dataDxfId="49">
  <autoFilter ref="A1:I6" xr:uid="{99645780-5037-4DEB-BA5E-A9642155A332}"/>
  <tableColumns count="9">
    <tableColumn id="1" xr3:uid="{3CE142D3-B49F-4BCC-AE1D-E2A490166C85}" name="Patient_ID" dataDxfId="48" totalsRowDxfId="13"/>
    <tableColumn id="2" xr3:uid="{DDC32E41-87CD-4F09-A02B-E4BAFA5DBFF3}" name="Name" dataDxfId="47" totalsRowDxfId="12"/>
    <tableColumn id="3" xr3:uid="{8B388AA5-110F-4E6B-B878-BC108DB47E47}" name="City" totalsRowLabel="COUNTIF=" dataDxfId="46" totalsRowDxfId="11"/>
    <tableColumn id="4" xr3:uid="{3076DEBE-74F9-4F83-AC1A-0DC8C970A2DF}" name="Age" totalsRowFunction="custom" dataDxfId="45" totalsRowDxfId="10">
      <totalsRowFormula>COUNTIF(Table1[Age],"&lt;30")</totalsRowFormula>
    </tableColumn>
    <tableColumn id="5" xr3:uid="{2D0E0C9A-2DF2-4FAA-98C4-1A406920753A}" name="Gender" totalsRowFunction="custom" dataDxfId="44" totalsRowDxfId="9">
      <totalsRowFormula>COUNTIF(Table1[Gender],"FEMALE")</totalsRowFormula>
    </tableColumn>
    <tableColumn id="9" xr3:uid="{2209124F-141A-4BFE-BF23-A1716EED088E}" name="COUNTIF" dataDxfId="26" totalsRowDxfId="8">
      <calculatedColumnFormula>COUNTIF(Table1[[#This Row],[Age]],"&lt;30")</calculatedColumnFormula>
    </tableColumn>
    <tableColumn id="6" xr3:uid="{60542D2E-CEC7-4E51-BD6C-F809925E10D3}" name="Salary" totalsRowFunction="custom" dataDxfId="43" totalsRowDxfId="7">
      <totalsRowFormula>COUNTIF(Table1[Salary],"&gt;=40000")</totalsRowFormula>
    </tableColumn>
    <tableColumn id="7" xr3:uid="{C6CBEF86-BDE1-469E-8B7C-D20038A141AB}" name="Salary Category" dataDxfId="42" totalsRowDxfId="6">
      <calculatedColumnFormula>IF(Table1[[#This Row],[Salary]]&gt;=35000,"Good","Low")</calculatedColumnFormula>
    </tableColumn>
    <tableColumn id="8" xr3:uid="{60B504C5-50A6-413E-BCDB-40CFC032F0F0}" name="OR CONDITION" dataDxfId="30" totalsRowDxfId="5">
      <calculatedColumnFormula>IF(OR(Table1[[#This Row],[Age]]&gt;=30,Table1[[#This Row],[Salary]]&gt;=5000),"YES","NO")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06CD5-3990-466D-BDA3-5A6F6035AB50}" name="Table2" displayName="Table2" ref="A15:L21" totalsRowCount="1" headerRowDxfId="41" dataDxfId="40">
  <autoFilter ref="A15:L20" xr:uid="{A7506CD5-3990-466D-BDA3-5A6F6035AB50}"/>
  <sortState xmlns:xlrd2="http://schemas.microsoft.com/office/spreadsheetml/2017/richdata2" ref="A16:L20">
    <sortCondition ref="A15:A20"/>
  </sortState>
  <tableColumns count="12">
    <tableColumn id="1" xr3:uid="{B9E3C986-1C9C-4878-A1AC-5D89CF301AAA}" name="ID" dataDxfId="39" totalsRowDxfId="25"/>
    <tableColumn id="2" xr3:uid="{207C0052-C633-432E-B7B1-3FB3EF80CDBE}" name="Name" dataDxfId="38" totalsRowDxfId="24"/>
    <tableColumn id="6" xr3:uid="{21BE8DA7-DC9D-44C2-8B40-B67CE1AF0449}" name="Clean Name" dataDxfId="37" totalsRowDxfId="23">
      <calculatedColumnFormula>TRIM(B16)</calculatedColumnFormula>
    </tableColumn>
    <tableColumn id="3" xr3:uid="{F3D83814-57FB-4C35-B6F7-93685E6FEFD6}" name="City" dataDxfId="36" totalsRowDxfId="22"/>
    <tableColumn id="7" xr3:uid="{D94C81F0-E590-4A7C-ADA1-44218C98E5A7}" name="Clean City" dataDxfId="35" totalsRowDxfId="21">
      <calculatedColumnFormula>PROPER(D16)</calculatedColumnFormula>
    </tableColumn>
    <tableColumn id="10" xr3:uid="{73331B2B-D0DA-4C36-B4F1-41F9C137A57C}" name="ColAge Category" totalsRowLabel="SUM AGE" dataDxfId="34" totalsRowDxfId="20">
      <calculatedColumnFormula>IF(Table2[[#This Row],[Age]]="blank","Missing",IF(Table2[[#This Row],[Age]]&gt;=30,"30+","Below 30"))</calculatedColumnFormula>
    </tableColumn>
    <tableColumn id="4" xr3:uid="{882AEF4B-5D5D-4440-8A41-9EDFF3020240}" name="Age" totalsRowFunction="custom" dataDxfId="33" totalsRowDxfId="19">
      <totalsRowFormula>SUM(Table2[Age])</totalsRowFormula>
    </tableColumn>
    <tableColumn id="11" xr3:uid="{05A02E51-E7CA-482F-BFFC-F87CF8D692ED}" name="AGE CATEGORIES NOT CONDITION" dataDxfId="28" totalsRowDxfId="18">
      <calculatedColumnFormula>IF(NOT(Table2[[#This Row],[Age]]&gt;=30),"30+","BELOW 30")</calculatedColumnFormula>
    </tableColumn>
    <tableColumn id="12" xr3:uid="{0ACB5CD7-C3C1-4815-BABF-8A4BF58CBB28}" name="NOT + OR+IF" dataDxfId="27" totalsRowDxfId="17">
      <calculatedColumnFormula>IF(NOT(OR( Table2[[#This Row],[Age]]&gt;30, Table2[[#This Row],[Salary]]&gt;50000)),"PASS","FAIL")</calculatedColumnFormula>
    </tableColumn>
    <tableColumn id="5" xr3:uid="{A0238E1D-6DCE-4C52-A18C-FC0252C64B7E}" name="Salary" dataDxfId="32" totalsRowDxfId="16"/>
    <tableColumn id="8" xr3:uid="{DA4DE769-F4C3-43C5-890F-537D39DB3A86}" name="Salary Category" totalsRowFunction="custom" dataDxfId="31" totalsRowDxfId="15">
      <calculatedColumnFormula>IF(J16="blank","Missing",IF(J16&gt;=35000,"Good","Low"))</calculatedColumnFormula>
      <totalsRowFormula>COUNTIF(Table2[Salary Category],"GOOD")</totalsRowFormula>
    </tableColumn>
    <tableColumn id="9" xr3:uid="{24C98750-3385-4D01-9473-BEF2500A1657}" name="Eligilibility" dataDxfId="29" totalsRowDxfId="14">
      <calculatedColumnFormula>IF(OR(Table2[[#This Row],[Age]]&gt;=30,Table2[[#This Row],[Salary]]&gt;=50000),"ELIGIBLE","NOT ELIGIBLE")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E49E-6516-492D-9B24-48D866878B14}">
  <dimension ref="A1:M27"/>
  <sheetViews>
    <sheetView tabSelected="1" workbookViewId="0">
      <selection activeCell="D13" sqref="D13"/>
    </sheetView>
  </sheetViews>
  <sheetFormatPr defaultRowHeight="14.4" x14ac:dyDescent="0.3"/>
  <cols>
    <col min="1" max="1" width="11.6640625" customWidth="1"/>
    <col min="3" max="3" width="11.44140625" bestFit="1" customWidth="1"/>
    <col min="5" max="5" width="9" customWidth="1"/>
    <col min="6" max="6" width="10.33203125" bestFit="1" customWidth="1"/>
    <col min="8" max="8" width="12.5546875" bestFit="1" customWidth="1"/>
    <col min="10" max="10" width="12.77734375" bestFit="1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39</v>
      </c>
      <c r="G1" s="3" t="s">
        <v>5</v>
      </c>
      <c r="H1" s="1" t="s">
        <v>26</v>
      </c>
      <c r="I1" s="1" t="s">
        <v>34</v>
      </c>
    </row>
    <row r="2" spans="1:13" x14ac:dyDescent="0.3">
      <c r="A2" s="4" t="s">
        <v>6</v>
      </c>
      <c r="B2" s="4" t="s">
        <v>7</v>
      </c>
      <c r="C2" s="4" t="s">
        <v>8</v>
      </c>
      <c r="D2" s="2">
        <v>25</v>
      </c>
      <c r="E2" s="4" t="s">
        <v>9</v>
      </c>
      <c r="F2" s="4">
        <f>COUNTIF(Table1[[#This Row],[Age]],"&lt;30")</f>
        <v>1</v>
      </c>
      <c r="G2" s="2">
        <v>30000</v>
      </c>
      <c r="H2" s="4" t="str">
        <f>IF(Table1[[#This Row],[Salary]]&gt;=35000,"Good","Low")</f>
        <v>Low</v>
      </c>
      <c r="I2" s="4" t="str">
        <f>IF(OR(Table1[[#This Row],[Age]]&gt;=30,Table1[[#This Row],[Salary]]&gt;=5000),"YES","NO")</f>
        <v>YES</v>
      </c>
    </row>
    <row r="3" spans="1:13" x14ac:dyDescent="0.3">
      <c r="A3" s="4" t="s">
        <v>10</v>
      </c>
      <c r="B3" s="4" t="s">
        <v>11</v>
      </c>
      <c r="C3" s="4" t="s">
        <v>12</v>
      </c>
      <c r="D3" s="2"/>
      <c r="E3" s="4" t="s">
        <v>13</v>
      </c>
      <c r="F3" s="4">
        <f>COUNTIF(Table1[[#This Row],[Age]],"&lt;30")</f>
        <v>0</v>
      </c>
      <c r="G3" s="2">
        <v>35000</v>
      </c>
      <c r="H3" s="4" t="str">
        <f>IF(Table1[[#This Row],[Salary]]&gt;=35000,"Good","Low")</f>
        <v>Good</v>
      </c>
      <c r="I3" s="4" t="str">
        <f>IF(OR(Table1[[#This Row],[Age]]&gt;=30,Table1[[#This Row],[Salary]]&gt;=5000),"YES","NO")</f>
        <v>YES</v>
      </c>
    </row>
    <row r="4" spans="1:13" x14ac:dyDescent="0.3">
      <c r="A4" s="4" t="s">
        <v>14</v>
      </c>
      <c r="B4" s="4" t="s">
        <v>15</v>
      </c>
      <c r="C4" s="4" t="s">
        <v>8</v>
      </c>
      <c r="D4" s="2">
        <v>32</v>
      </c>
      <c r="E4" s="4" t="s">
        <v>9</v>
      </c>
      <c r="F4" s="4">
        <f>COUNTIF(Table1[[#This Row],[Age]],"&lt;30")</f>
        <v>0</v>
      </c>
      <c r="G4" s="2">
        <v>40000</v>
      </c>
      <c r="H4" s="4" t="str">
        <f>IF(Table1[[#This Row],[Salary]]&gt;=35000,"Good","Low")</f>
        <v>Good</v>
      </c>
      <c r="I4" s="4" t="str">
        <f>IF(OR(Table1[[#This Row],[Age]]&gt;=30,Table1[[#This Row],[Salary]]&gt;=5000),"YES","NO")</f>
        <v>YES</v>
      </c>
    </row>
    <row r="5" spans="1:13" x14ac:dyDescent="0.3">
      <c r="A5" s="4" t="s">
        <v>16</v>
      </c>
      <c r="B5" s="4" t="s">
        <v>17</v>
      </c>
      <c r="C5" s="4" t="s">
        <v>18</v>
      </c>
      <c r="D5" s="2">
        <v>28</v>
      </c>
      <c r="E5" s="4" t="s">
        <v>13</v>
      </c>
      <c r="F5" s="4">
        <f>COUNTIF(Table1[[#This Row],[Age]],"&lt;30")</f>
        <v>1</v>
      </c>
      <c r="G5" s="2"/>
      <c r="H5" s="4" t="str">
        <f>IF(Table1[[#This Row],[Salary]]&gt;=35000,"Good","Low")</f>
        <v>Low</v>
      </c>
      <c r="I5" s="4" t="str">
        <f>IF(OR(Table1[[#This Row],[Age]]&gt;=30,Table1[[#This Row],[Salary]]&gt;=5000),"YES","NO")</f>
        <v>NO</v>
      </c>
    </row>
    <row r="6" spans="1:13" x14ac:dyDescent="0.3">
      <c r="A6" s="4" t="s">
        <v>19</v>
      </c>
      <c r="B6" s="4" t="s">
        <v>20</v>
      </c>
      <c r="C6" s="4" t="s">
        <v>8</v>
      </c>
      <c r="D6" s="2">
        <v>35</v>
      </c>
      <c r="E6" s="4" t="s">
        <v>9</v>
      </c>
      <c r="F6" s="4">
        <f>COUNTIF(Table1[[#This Row],[Age]],"&lt;30")</f>
        <v>0</v>
      </c>
      <c r="G6" s="2">
        <v>45000</v>
      </c>
      <c r="H6" s="4" t="str">
        <f>IF(Table1[[#This Row],[Salary]]&gt;=35000,"Good","Low")</f>
        <v>Good</v>
      </c>
      <c r="I6" s="4" t="str">
        <f>IF(OR(Table1[[#This Row],[Age]]&gt;=30,Table1[[#This Row],[Salary]]&gt;=5000),"YES","NO")</f>
        <v>YES</v>
      </c>
    </row>
    <row r="7" spans="1:13" x14ac:dyDescent="0.3">
      <c r="A7" s="4"/>
      <c r="B7" s="4"/>
      <c r="C7" s="4" t="s">
        <v>40</v>
      </c>
      <c r="D7" s="2">
        <f>COUNTIF(Table1[Age],"&lt;30")</f>
        <v>2</v>
      </c>
      <c r="E7" s="4">
        <f>COUNTIF(Table1[Gender],"FEMALE")</f>
        <v>2</v>
      </c>
      <c r="F7" s="6"/>
      <c r="G7" s="2">
        <f>COUNTIF(Table1[Salary],"&gt;=40000")</f>
        <v>2</v>
      </c>
      <c r="H7" s="6"/>
      <c r="I7" s="6"/>
    </row>
    <row r="8" spans="1:13" x14ac:dyDescent="0.3">
      <c r="A8" s="4"/>
      <c r="B8" s="4"/>
      <c r="C8" s="4" t="s">
        <v>41</v>
      </c>
      <c r="D8" s="2">
        <f>SUMIF(Table1[Gender],"FEMALE",Table1[Salary])</f>
        <v>35000</v>
      </c>
      <c r="E8" s="4">
        <f>SUMIF(Table1[Salary],"&gt;=40000",Table1[Salary])</f>
        <v>85000</v>
      </c>
      <c r="F8" s="6"/>
      <c r="G8" s="2"/>
      <c r="H8" s="6"/>
      <c r="I8" s="6"/>
    </row>
    <row r="9" spans="1:13" x14ac:dyDescent="0.3">
      <c r="A9" s="4"/>
      <c r="B9" s="4"/>
      <c r="C9" s="4" t="s">
        <v>42</v>
      </c>
      <c r="D9" s="2">
        <f>AVERAGEIF(Table1[Gender],"FEMALE",Table1[Salary])</f>
        <v>35000</v>
      </c>
      <c r="E9" s="4"/>
      <c r="F9" s="6"/>
      <c r="G9" s="2"/>
      <c r="H9" s="6"/>
      <c r="I9" s="6"/>
    </row>
    <row r="10" spans="1:13" x14ac:dyDescent="0.3">
      <c r="A10" s="4"/>
      <c r="B10" s="4"/>
      <c r="C10" s="4" t="s">
        <v>43</v>
      </c>
      <c r="D10" s="2">
        <f>COUNTIFS(Table1[Age],"&gt;=30",Table1[Gender],"MALE")</f>
        <v>2</v>
      </c>
      <c r="E10" s="4">
        <f>COUNTIFS(Table1[Gender],"FEMALE",Table1[Age],"&gt;30")</f>
        <v>0</v>
      </c>
      <c r="F10" s="6">
        <f>COUNTIFS(Table1[Gender],"MALE",Table1[Salary],"&gt;=40000")</f>
        <v>2</v>
      </c>
      <c r="G10" s="2"/>
      <c r="H10" s="6"/>
      <c r="I10" s="6"/>
    </row>
    <row r="11" spans="1:13" x14ac:dyDescent="0.3">
      <c r="A11" s="4"/>
      <c r="B11" s="4"/>
      <c r="C11" s="4" t="s">
        <v>44</v>
      </c>
      <c r="D11" s="2">
        <f>SUMIFS(Table1[Salary],Table1[Age],"&gt;30",Table1[Gender],"MALE")</f>
        <v>85000</v>
      </c>
      <c r="E11" s="4"/>
      <c r="F11" s="6"/>
      <c r="G11" s="2"/>
      <c r="H11" s="6"/>
      <c r="I11" s="6"/>
    </row>
    <row r="12" spans="1:13" x14ac:dyDescent="0.3">
      <c r="A12" s="4"/>
      <c r="B12" s="4"/>
      <c r="C12" s="4" t="s">
        <v>45</v>
      </c>
      <c r="D12" s="2">
        <f>AVERAGEIFS(Table1[Salary],Table1[Age],"&gt;=30",Table1[Gender],"MALE")</f>
        <v>42500</v>
      </c>
      <c r="E12" s="4"/>
      <c r="F12" s="6"/>
      <c r="G12" s="2"/>
      <c r="H12" s="6"/>
      <c r="I12" s="6"/>
    </row>
    <row r="13" spans="1:13" x14ac:dyDescent="0.3">
      <c r="A13" s="4"/>
      <c r="B13" s="4"/>
      <c r="C13" s="4"/>
      <c r="D13" s="2"/>
      <c r="E13" s="4"/>
      <c r="F13" s="6"/>
      <c r="G13" s="2"/>
      <c r="H13" s="6"/>
      <c r="I13" s="6"/>
    </row>
    <row r="14" spans="1:13" x14ac:dyDescent="0.3">
      <c r="A14" s="4"/>
      <c r="B14" s="4"/>
      <c r="C14" s="4"/>
      <c r="D14" s="2"/>
      <c r="E14" s="4"/>
      <c r="F14" s="2"/>
    </row>
    <row r="15" spans="1:13" ht="34.799999999999997" customHeight="1" x14ac:dyDescent="0.3">
      <c r="A15" s="1" t="s">
        <v>21</v>
      </c>
      <c r="B15" s="1" t="s">
        <v>1</v>
      </c>
      <c r="C15" s="1" t="s">
        <v>25</v>
      </c>
      <c r="D15" s="1" t="s">
        <v>2</v>
      </c>
      <c r="E15" s="1" t="s">
        <v>24</v>
      </c>
      <c r="F15" s="1" t="s">
        <v>27</v>
      </c>
      <c r="G15" s="1" t="s">
        <v>3</v>
      </c>
      <c r="H15" s="1" t="s">
        <v>37</v>
      </c>
      <c r="I15" s="1" t="s">
        <v>38</v>
      </c>
      <c r="J15" s="3" t="s">
        <v>5</v>
      </c>
      <c r="K15" s="1" t="s">
        <v>26</v>
      </c>
      <c r="L15" s="1" t="s">
        <v>35</v>
      </c>
      <c r="M15" s="3" t="s">
        <v>21</v>
      </c>
    </row>
    <row r="16" spans="1:13" ht="28.8" x14ac:dyDescent="0.3">
      <c r="A16" s="4">
        <v>101</v>
      </c>
      <c r="B16" s="4" t="s">
        <v>7</v>
      </c>
      <c r="C16" s="4" t="str">
        <f>TRIM(B16)</f>
        <v>Rahul</v>
      </c>
      <c r="D16" s="4" t="s">
        <v>8</v>
      </c>
      <c r="E16" s="4" t="str">
        <f>PROPER(D16)</f>
        <v>Mumbai</v>
      </c>
      <c r="F16" s="4" t="str">
        <f>IF(Table2[[#This Row],[Age]]="blank","Missing",IF(Table2[[#This Row],[Age]]&gt;=30,"30+","Below 30"))</f>
        <v>Below 30</v>
      </c>
      <c r="G16" s="4">
        <v>25</v>
      </c>
      <c r="H16" s="4" t="str">
        <f>IF(NOT(Table2[[#This Row],[Age]]&gt;=30),"30+","BELOW 30")</f>
        <v>30+</v>
      </c>
      <c r="I16" s="4" t="str">
        <f>IF(NOT(OR( Table2[[#This Row],[Age]]&gt;30, Table2[[#This Row],[Salary]]&gt;50000)),"PASS","FAIL")</f>
        <v>PASS</v>
      </c>
      <c r="J16" s="2">
        <v>30000</v>
      </c>
      <c r="K16" s="4" t="str">
        <f>IF(J16="blank","Missing",IF(J16&gt;=35000,"Good","Low"))</f>
        <v>Low</v>
      </c>
      <c r="L16" s="6" t="str">
        <f>IF(OR(Table2[[#This Row],[Age]]&gt;=30,Table2[[#This Row],[Salary]]&gt;=50000),"ELIGIBLE","NOT ELIGIBLE")</f>
        <v>NOT ELIGIBLE</v>
      </c>
      <c r="M16" s="2">
        <v>101</v>
      </c>
    </row>
    <row r="17" spans="1:13" x14ac:dyDescent="0.3">
      <c r="A17" s="4">
        <v>102</v>
      </c>
      <c r="B17" s="4" t="s">
        <v>11</v>
      </c>
      <c r="C17" s="4" t="str">
        <f>TRIM(B17)</f>
        <v>Priya</v>
      </c>
      <c r="D17" s="4" t="s">
        <v>12</v>
      </c>
      <c r="E17" s="4" t="str">
        <f>PROPER(D17)</f>
        <v>Pune</v>
      </c>
      <c r="F17" s="4" t="str">
        <f>IF(Table2[[#This Row],[Age]]="blank","Missing",IF(Table2[[#This Row],[Age]]&gt;=30,"30+","Below 30"))</f>
        <v>Missing</v>
      </c>
      <c r="G17" s="5" t="s">
        <v>22</v>
      </c>
      <c r="H17" s="5" t="str">
        <f>IF(NOT(Table2[[#This Row],[Age]]&gt;=30),"30+","BELOW 30")</f>
        <v>BELOW 30</v>
      </c>
      <c r="I17" s="5" t="str">
        <f>IF(NOT(OR( Table2[[#This Row],[Age]]&gt;30, Table2[[#This Row],[Salary]]&gt;50000)),"PASS","FAIL")</f>
        <v>FAIL</v>
      </c>
      <c r="J17" s="2">
        <v>35000</v>
      </c>
      <c r="K17" s="4" t="str">
        <f>IF(J17="blank","Missing",IF(J17&gt;=35000,"Good","Low"))</f>
        <v>Good</v>
      </c>
      <c r="L17" s="6" t="str">
        <f>IF(OR(Table2[[#This Row],[Age]]&gt;=30,Table2[[#This Row],[Salary]]&gt;=50000),"ELIGIBLE","NOT ELIGIBLE")</f>
        <v>ELIGIBLE</v>
      </c>
      <c r="M17" s="2">
        <v>102</v>
      </c>
    </row>
    <row r="18" spans="1:13" x14ac:dyDescent="0.3">
      <c r="A18" s="4">
        <v>103</v>
      </c>
      <c r="B18" s="4" t="s">
        <v>15</v>
      </c>
      <c r="C18" s="4" t="str">
        <f>TRIM(B18)</f>
        <v>Amit</v>
      </c>
      <c r="D18" s="4" t="s">
        <v>23</v>
      </c>
      <c r="E18" s="4" t="str">
        <f>PROPER(D18)</f>
        <v>Mumbai</v>
      </c>
      <c r="F18" s="4" t="str">
        <f>IF(Table2[[#This Row],[Age]]="blank","Missing",IF(Table2[[#This Row],[Age]]&gt;=30,"30+","Below 30"))</f>
        <v>30+</v>
      </c>
      <c r="G18" s="4">
        <v>30</v>
      </c>
      <c r="H18" s="4" t="str">
        <f>IF(NOT(Table2[[#This Row],[Age]]&gt;=30),"30+","BELOW 30")</f>
        <v>BELOW 30</v>
      </c>
      <c r="I18" s="4" t="str">
        <f>IF(NOT(OR( Table2[[#This Row],[Age]]&gt;30, Table2[[#This Row],[Salary]]&gt;50000)),"PASS","FAIL")</f>
        <v>PASS</v>
      </c>
      <c r="J18" s="2">
        <v>40000</v>
      </c>
      <c r="K18" s="4" t="str">
        <f>IF(J18="blank","Missing",IF(J18&gt;=35000,"Good","Low"))</f>
        <v>Good</v>
      </c>
      <c r="L18" s="6" t="str">
        <f>IF(OR(Table2[[#This Row],[Age]]&gt;=30,Table2[[#This Row],[Salary]]&gt;=50000),"ELIGIBLE","NOT ELIGIBLE")</f>
        <v>ELIGIBLE</v>
      </c>
      <c r="M18" s="3">
        <v>103</v>
      </c>
    </row>
    <row r="19" spans="1:13" x14ac:dyDescent="0.3">
      <c r="A19" s="4">
        <v>104</v>
      </c>
      <c r="B19" s="4" t="s">
        <v>17</v>
      </c>
      <c r="C19" s="4" t="str">
        <f>TRIM(B19)</f>
        <v>Sneha</v>
      </c>
      <c r="D19" s="4" t="s">
        <v>12</v>
      </c>
      <c r="E19" s="4" t="str">
        <f>PROPER(D19)</f>
        <v>Pune</v>
      </c>
      <c r="F19" s="4" t="str">
        <f>IF(Table2[[#This Row],[Age]]="blank","Missing",IF(Table2[[#This Row],[Age]]&gt;=30,"30+","Below 30"))</f>
        <v>Below 30</v>
      </c>
      <c r="G19" s="4">
        <v>28</v>
      </c>
      <c r="H19" s="4" t="str">
        <f>IF(NOT(Table2[[#This Row],[Age]]&gt;=30),"30+","BELOW 30")</f>
        <v>30+</v>
      </c>
      <c r="I19" s="4" t="str">
        <f>IF(NOT(OR( Table2[[#This Row],[Age]]&gt;30, Table2[[#This Row],[Salary]]&gt;50000)),"PASS","FAIL")</f>
        <v>FAIL</v>
      </c>
      <c r="J19" s="3" t="s">
        <v>22</v>
      </c>
      <c r="K19" s="4" t="str">
        <f>IF(J19="blank","Missing",IF(J19&gt;=35000,"Good","Low"))</f>
        <v>Missing</v>
      </c>
      <c r="L19" s="6" t="str">
        <f>IF(OR(Table2[[#This Row],[Age]]&gt;=30,Table2[[#This Row],[Salary]]&gt;=50000),"ELIGIBLE","NOT ELIGIBLE")</f>
        <v>ELIGIBLE</v>
      </c>
      <c r="M19" s="3">
        <v>103</v>
      </c>
    </row>
    <row r="20" spans="1:13" x14ac:dyDescent="0.3">
      <c r="A20" s="4">
        <v>105</v>
      </c>
      <c r="B20" s="4" t="s">
        <v>20</v>
      </c>
      <c r="C20" s="4" t="str">
        <f>TRIM(B20)</f>
        <v>Raj</v>
      </c>
      <c r="D20" s="4" t="s">
        <v>18</v>
      </c>
      <c r="E20" s="4" t="str">
        <f>PROPER(D20)</f>
        <v>Pune</v>
      </c>
      <c r="F20" s="4" t="str">
        <f>IF(Table2[[#This Row],[Age]]="blank","Missing",IF(Table2[[#This Row],[Age]]&gt;=30,"30+","Below 30"))</f>
        <v>30+</v>
      </c>
      <c r="G20" s="4">
        <v>35</v>
      </c>
      <c r="H20" s="4" t="str">
        <f>IF(NOT(Table2[[#This Row],[Age]]&gt;=30),"30+","BELOW 30")</f>
        <v>BELOW 30</v>
      </c>
      <c r="I20" s="4" t="str">
        <f>IF(NOT(OR( Table2[[#This Row],[Age]]&gt;30, Table2[[#This Row],[Salary]]&gt;50000)),"PASS","FAIL")</f>
        <v>FAIL</v>
      </c>
      <c r="J20" s="2">
        <v>45000</v>
      </c>
      <c r="K20" s="4" t="str">
        <f>IF(J20="blank","Missing",IF(J20&gt;=35000,"Good","Low"))</f>
        <v>Good</v>
      </c>
      <c r="L20" s="6" t="str">
        <f>IF(OR(Table2[[#This Row],[Age]]&gt;=30,Table2[[#This Row],[Salary]]&gt;=50000),"ELIGIBLE","NOT ELIGIBLE")</f>
        <v>ELIGIBLE</v>
      </c>
      <c r="M20" s="2">
        <v>104</v>
      </c>
    </row>
    <row r="21" spans="1:13" x14ac:dyDescent="0.3">
      <c r="A21" s="4"/>
      <c r="B21" s="4"/>
      <c r="C21" s="6"/>
      <c r="D21" s="4"/>
      <c r="E21" s="6"/>
      <c r="F21" s="6" t="s">
        <v>28</v>
      </c>
      <c r="G21" s="4">
        <f>SUM(Table2[Age])</f>
        <v>118</v>
      </c>
      <c r="H21" s="4"/>
      <c r="I21" s="4"/>
      <c r="J21" s="2"/>
      <c r="K21" s="6">
        <f>COUNTIF(Table2[Salary Category],"GOOD")</f>
        <v>3</v>
      </c>
      <c r="L21" s="4"/>
    </row>
    <row r="22" spans="1:13" x14ac:dyDescent="0.3">
      <c r="F22" t="s">
        <v>29</v>
      </c>
      <c r="G22">
        <f>AVERAGE(Table2[Age])</f>
        <v>29.5</v>
      </c>
    </row>
    <row r="23" spans="1:13" x14ac:dyDescent="0.3">
      <c r="F23" t="s">
        <v>30</v>
      </c>
      <c r="G23">
        <f>COUNT(Table2[Age])</f>
        <v>4</v>
      </c>
    </row>
    <row r="24" spans="1:13" x14ac:dyDescent="0.3">
      <c r="F24" t="s">
        <v>31</v>
      </c>
      <c r="G24">
        <f>COUNTA(Table2[Age])</f>
        <v>5</v>
      </c>
    </row>
    <row r="25" spans="1:13" x14ac:dyDescent="0.3">
      <c r="F25" t="s">
        <v>32</v>
      </c>
      <c r="G25">
        <f>MIN(Table2[Age])</f>
        <v>25</v>
      </c>
    </row>
    <row r="26" spans="1:13" x14ac:dyDescent="0.3">
      <c r="F26" t="s">
        <v>33</v>
      </c>
      <c r="G26">
        <f>MAX(Table2[Age])</f>
        <v>35</v>
      </c>
    </row>
    <row r="27" spans="1:13" x14ac:dyDescent="0.3">
      <c r="F27" t="s">
        <v>36</v>
      </c>
      <c r="H27" t="b">
        <f>NOT(G20&gt;=30)</f>
        <v>0</v>
      </c>
    </row>
  </sheetData>
  <conditionalFormatting sqref="A15:A20">
    <cfRule type="duplicateValues" dxfId="4" priority="3"/>
  </conditionalFormatting>
  <conditionalFormatting sqref="G15:I20">
    <cfRule type="cellIs" dxfId="3" priority="2" operator="greaterThan">
      <formula>30</formula>
    </cfRule>
  </conditionalFormatting>
  <conditionalFormatting sqref="J15:J20">
    <cfRule type="cellIs" dxfId="2" priority="4" operator="lessThan">
      <formula>35000</formula>
    </cfRule>
    <cfRule type="cellIs" dxfId="1" priority="5" operator="greaterThan">
      <formula>35000</formula>
    </cfRule>
  </conditionalFormatting>
  <conditionalFormatting sqref="J14">
    <cfRule type="cellIs" priority="6" operator="greaterThanOrEqual">
      <formula>35000</formula>
    </cfRule>
  </conditionalFormatting>
  <conditionalFormatting sqref="L21 M15:M20">
    <cfRule type="duplicateValues" dxfId="0" priority="1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Patil</dc:creator>
  <cp:lastModifiedBy>Vaishnavi Patil</cp:lastModifiedBy>
  <dcterms:created xsi:type="dcterms:W3CDTF">2026-09-01T06:56:25Z</dcterms:created>
  <dcterms:modified xsi:type="dcterms:W3CDTF">2026-09-03T06:38:19Z</dcterms:modified>
</cp:coreProperties>
</file>