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C:\Users\hp\Desktop\Business Analytics\Sheets\"/>
    </mc:Choice>
  </mc:AlternateContent>
  <xr:revisionPtr revIDLastSave="0" documentId="13_ncr:1_{A653D77F-CB3B-4E75-A6DA-589BC915C647}" xr6:coauthVersionLast="47" xr6:coauthVersionMax="47" xr10:uidLastSave="{00000000-0000-0000-0000-000000000000}"/>
  <bookViews>
    <workbookView xWindow="-108" yWindow="-108" windowWidth="23256" windowHeight="13176" firstSheet="6" activeTab="11" xr2:uid="{00000000-000D-0000-FFFF-FFFF00000000}"/>
  </bookViews>
  <sheets>
    <sheet name="Sheet6" sheetId="6" r:id="rId1"/>
    <sheet name="Sheet11" sheetId="11" r:id="rId2"/>
    <sheet name="Sheet12" sheetId="12" r:id="rId3"/>
    <sheet name="Sheet13" sheetId="13" r:id="rId4"/>
    <sheet name="Sheet14" sheetId="14" r:id="rId5"/>
    <sheet name="Sheet15" sheetId="15" r:id="rId6"/>
    <sheet name="Sheet16" sheetId="16" r:id="rId7"/>
    <sheet name="Sheet17" sheetId="17" r:id="rId8"/>
    <sheet name="Sheet18" sheetId="18" r:id="rId9"/>
    <sheet name="Sheet1" sheetId="1" r:id="rId10"/>
    <sheet name="Dash1" sheetId="2" r:id="rId11"/>
    <sheet name="Dash 2" sheetId="3" r:id="rId12"/>
  </sheets>
  <definedNames>
    <definedName name="Slicer_Days_Months">#N/A</definedName>
    <definedName name="Slicer_Product">#N/A</definedName>
    <definedName name="Slicer_Product1">#N/A</definedName>
  </definedNames>
  <calcPr calcId="191029"/>
  <pivotCaches>
    <pivotCache cacheId="28" r:id="rId13"/>
    <pivotCache cacheId="35" r:id="rId14"/>
    <pivotCache cacheId="45" r:id="rId15"/>
    <pivotCache cacheId="59"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70" i="1" l="1"/>
  <c r="G71" i="1"/>
  <c r="G72" i="1"/>
  <c r="G73"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2" i="1"/>
</calcChain>
</file>

<file path=xl/sharedStrings.xml><?xml version="1.0" encoding="utf-8"?>
<sst xmlns="http://schemas.openxmlformats.org/spreadsheetml/2006/main" count="284" uniqueCount="71">
  <si>
    <t>Date</t>
  </si>
  <si>
    <t>Product</t>
  </si>
  <si>
    <t>Quantity</t>
  </si>
  <si>
    <t>Price</t>
  </si>
  <si>
    <t>Region</t>
  </si>
  <si>
    <t>A</t>
  </si>
  <si>
    <t>North</t>
  </si>
  <si>
    <t>B</t>
  </si>
  <si>
    <t>C</t>
  </si>
  <si>
    <t>D</t>
  </si>
  <si>
    <t>South</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</si>
  <si>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</si>
  <si>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</si>
  <si>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</si>
  <si>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</si>
  <si>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</si>
  <si>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</si>
  <si>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</si>
  <si>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</si>
  <si>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</si>
  <si>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</si>
  <si>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</si>
  <si>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</si>
  <si>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</si>
  <si>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</si>
  <si>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</si>
  <si>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</si>
  <si>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</si>
  <si>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</si>
  <si>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</si>
  <si>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</si>
  <si>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</si>
  <si>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</si>
  <si>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</si>
  <si>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</si>
  <si>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</si>
  <si>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</si>
  <si>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</si>
  <si>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</si>
  <si>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</si>
  <si>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</si>
  <si>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</si>
  <si>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</si>
  <si>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</si>
  <si>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</si>
  <si>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</si>
  <si>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</si>
  <si>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Row Labels</t>
  </si>
  <si>
    <t>Grand Total</t>
  </si>
  <si>
    <t>Sum of Quantity</t>
  </si>
  <si>
    <t>Column Labels</t>
  </si>
  <si>
    <t>Sum of Price</t>
  </si>
  <si>
    <t>Days(Months)</t>
  </si>
  <si>
    <t>Sales</t>
  </si>
  <si>
    <t>January</t>
  </si>
  <si>
    <t>February</t>
  </si>
  <si>
    <t>March</t>
  </si>
  <si>
    <t>April</t>
  </si>
  <si>
    <t>May</t>
  </si>
  <si>
    <t>June</t>
  </si>
  <si>
    <t>July</t>
  </si>
  <si>
    <t>August</t>
  </si>
  <si>
    <t>September</t>
  </si>
  <si>
    <t>October</t>
  </si>
  <si>
    <t>November</t>
  </si>
  <si>
    <t>December</t>
  </si>
  <si>
    <t>Sum of Sales</t>
  </si>
  <si>
    <t xml:space="preserve">           Sales Overview Dashboard</t>
  </si>
  <si>
    <t>(blank)</t>
  </si>
  <si>
    <t>Average of Price</t>
  </si>
  <si>
    <t xml:space="preserve">  Regional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</si>
</sst>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0"/>
      <color rgb="FF000000"/>
      <name val="Arial"/>
      <scheme val="minor"/>
    </font>
    <font>
      <sz val="10"/>
      <color rgb="FF000000"/>
      <name val="Arial"/>
    </font>
    <font>
      <sz val="10"/>
      <color rgb="FF000000"/>
      <name val="Arial"/>
      <family val="2"/>
    </font>
    <font>
      <b/>
      <i/>
      <sz val="72"/>
      <color theme="5"/>
      <name val="Arial"/>
      <family val="2"/>
      <scheme val="minor"/>
    </font>
    <font>
      <b/>
      <i/>
      <sz val="48"/>
      <color theme="5"/>
      <name val="Arial"/>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64" fontId="1" fillId="0" borderId="0" xfId="0" applyNumberFormat="1" applyFont="1" applyAlignment="1">
      <alignment horizontal="right"/>
    </xf>
    <xf numFmtId="0" fontId="1" fillId="0" borderId="0" xfId="0" applyFont="1" applyAlignment="1">
      <alignment horizontal="right"/>
    </xf>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alignment horizontal="right"/>
    </xf>
    <xf numFmtId="0" fontId="0" fillId="0" borderId="0" xfId="0" applyAlignment="1">
      <alignment horizontal="right"/>
    </xf>
    <xf numFmtId="0" fontId="0" fillId="0" borderId="0" xfId="0" applyNumberFormat="1" applyAlignment="1">
      <alignment horizontal="right"/>
    </xf>
    <xf numFmtId="14" fontId="0" fillId="0" borderId="0" xfId="0" applyNumberFormat="1" applyAlignment="1">
      <alignment horizontal="right"/>
    </xf>
    <xf numFmtId="0" fontId="2" fillId="0" borderId="0" xfId="0" applyFont="1"/>
    <xf numFmtId="0" fontId="0" fillId="2" borderId="0" xfId="0" applyFill="1"/>
    <xf numFmtId="0" fontId="3" fillId="2" borderId="0" xfId="0" applyFont="1" applyFill="1"/>
    <xf numFmtId="0" fontId="4" fillId="2" borderId="0" xfId="0" applyFont="1" applyFill="1"/>
  </cellXfs>
  <cellStyles count="1">
    <cellStyle name="Normal" xfId="0" builtinId="0"/>
  </cellStyles>
  <dxfs count="44">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[Product_dataset.xlsx]Sheet6!PivotTable7</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quantity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285F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Sheet6!$B$3:$B$4</c:f>
              <c:strCache>
                <c:ptCount val="1"/>
                <c:pt idx="0">
                  <c:v>A</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285F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Sheet6!$A$5:$A$23</c:f>
              <c:strCache>
                <c:ptCount val="18"/>
                <c:pt idx="0">
                  <c:v>13-01-2024</c:v>
                </c:pt>
                <c:pt idx="1">
                  <c:v>14-02-2024</c:v>
                </c:pt>
                <c:pt idx="2">
                  <c:v>17-01-2024</c:v>
                </c:pt>
                <c:pt idx="3">
                  <c:v>18-02-2024</c:v>
                </c:pt>
                <c:pt idx="4">
                  <c:v>21-01-2024</c:v>
                </c:pt>
                <c:pt idx="5">
                  <c:v>22-02-2024</c:v>
                </c:pt>
                <c:pt idx="6">
                  <c:v>25-01-2024</c:v>
                </c:pt>
                <c:pt idx="7">
                  <c:v>26-02-2024</c:v>
                </c:pt>
                <c:pt idx="8">
                  <c:v>29-01-2024</c:v>
                </c:pt>
                <c:pt idx="9">
                  <c:v>01-01-2024</c:v>
                </c:pt>
                <c:pt idx="10">
                  <c:v>03-01-2024</c:v>
                </c:pt>
                <c:pt idx="11">
                  <c:v>02-02-2024</c:v>
                </c:pt>
                <c:pt idx="12">
                  <c:v>01-05-2024</c:v>
                </c:pt>
                <c:pt idx="13">
                  <c:v>03-05-2024</c:v>
                </c:pt>
                <c:pt idx="14">
                  <c:v>02-06-2024</c:v>
                </c:pt>
                <c:pt idx="15">
                  <c:v>01-09-2024</c:v>
                </c:pt>
                <c:pt idx="16">
                  <c:v>03-09-2024</c:v>
                </c:pt>
                <c:pt idx="17">
                  <c:v>02-10-2024</c:v>
                </c:pt>
              </c:strCache>
            </c:strRef>
          </c:cat>
          <c:val>
            <c:numRef>
              <c:f>Sheet6!$B$5:$B$23</c:f>
              <c:numCache>
                <c:formatCode>General</c:formatCode>
                <c:ptCount val="18"/>
                <c:pt idx="0">
                  <c:v>90</c:v>
                </c:pt>
                <c:pt idx="1">
                  <c:v>130</c:v>
                </c:pt>
                <c:pt idx="2">
                  <c:v>120</c:v>
                </c:pt>
                <c:pt idx="3">
                  <c:v>160</c:v>
                </c:pt>
                <c:pt idx="4">
                  <c:v>100</c:v>
                </c:pt>
                <c:pt idx="5">
                  <c:v>140</c:v>
                </c:pt>
                <c:pt idx="6">
                  <c:v>130</c:v>
                </c:pt>
                <c:pt idx="7">
                  <c:v>170</c:v>
                </c:pt>
                <c:pt idx="8">
                  <c:v>110</c:v>
                </c:pt>
                <c:pt idx="9">
                  <c:v>100</c:v>
                </c:pt>
                <c:pt idx="10">
                  <c:v>150</c:v>
                </c:pt>
                <c:pt idx="11">
                  <c:v>140</c:v>
                </c:pt>
                <c:pt idx="12">
                  <c:v>80</c:v>
                </c:pt>
                <c:pt idx="13">
                  <c:v>180</c:v>
                </c:pt>
                <c:pt idx="14">
                  <c:v>120</c:v>
                </c:pt>
                <c:pt idx="15">
                  <c:v>110</c:v>
                </c:pt>
                <c:pt idx="16">
                  <c:v>160</c:v>
                </c:pt>
                <c:pt idx="17">
                  <c:v>150</c:v>
                </c:pt>
              </c:numCache>
            </c:numRef>
          </c:val>
          <c:smooth val="0"/>
          <c:extLst>
            <c:ext xmlns:c16="http://schemas.microsoft.com/office/drawing/2014/chart" uri="{C3380CC4-5D6E-409C-BE32-E72D297353CC}">
              <c16:uniqueId val="{00000000-FACB-4CDC-81C8-0ADECF34AA5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67429903"/>
        <c:axId val="267434703"/>
      </c:lineChart>
      <c:catAx>
        <c:axId val="26742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67434703"/>
        <c:crosses val="autoZero"/>
        <c:auto val="1"/>
        <c:lblAlgn val="ctr"/>
        <c:lblOffset val="100"/>
        <c:noMultiLvlLbl val="0"/>
      </c:catAx>
      <c:valAx>
        <c:axId val="267434703"/>
        <c:scaling>
          <c:orientation val="minMax"/>
        </c:scaling>
        <c:delete val="1"/>
        <c:axPos val="l"/>
        <c:numFmt formatCode="General" sourceLinked="1"/>
        <c:majorTickMark val="none"/>
        <c:minorTickMark val="none"/>
        <c:tickLblPos val="nextTo"/>
        <c:crossAx val="26742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[Product_dataset.xlsx]Sheet11!PivotTable12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Quantities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s>
    <c:plotArea>
      <c:layout/>
      <c:pieChart>
        <c:varyColors val="1"/>
        <c:ser>
          <c:idx val="0"/>
          <c:order val="0"/>
          <c:tx>
            <c:strRef>
              <c:f>Sheet11!$B$3:$B$4</c:f>
              <c:strCache>
                <c:ptCount val="1"/>
                <c:pt idx="0">
                  <c:v>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29-46A9-8235-16C2394538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29-46A9-8235-16C2394538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29-46A9-8235-16C2394538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29-46A9-8235-16C23945385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29-46A9-8235-16C23945385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29-46A9-8235-16C23945385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F29-46A9-8235-16C23945385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F29-46A9-8235-16C23945385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F29-46A9-8235-16C23945385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F29-46A9-8235-16C23945385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F29-46A9-8235-16C23945385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F29-46A9-8235-16C2394538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Sheet11!$B$5:$B$17</c:f>
              <c:numCache>
                <c:formatCode>General</c:formatCode>
                <c:ptCount val="12"/>
                <c:pt idx="0">
                  <c:v>8000</c:v>
                </c:pt>
                <c:pt idx="1">
                  <c:v>7400</c:v>
                </c:pt>
                <c:pt idx="4">
                  <c:v>2600</c:v>
                </c:pt>
                <c:pt idx="5">
                  <c:v>1200</c:v>
                </c:pt>
                <c:pt idx="8">
                  <c:v>2700</c:v>
                </c:pt>
                <c:pt idx="9">
                  <c:v>1500</c:v>
                </c:pt>
              </c:numCache>
            </c:numRef>
          </c:val>
          <c:extLst>
            <c:ext xmlns:c16="http://schemas.microsoft.com/office/drawing/2014/chart" uri="{C3380CC4-5D6E-409C-BE32-E72D297353CC}">
              <c16:uniqueId val="{00000018-EF29-46A9-8235-16C23945385A}"/>
            </c:ext>
          </c:extLst>
        </c:ser>
        <c:ser>
          <c:idx val="1"/>
          <c:order val="1"/>
          <c:tx>
            <c:strRef>
              <c:f>Sheet11!$C$3:$C$4</c:f>
              <c:strCache>
                <c:ptCount val="1"/>
                <c:pt idx="0">
                  <c:v>B</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Sheet11!$C$5:$C$17</c:f>
              <c:numCache>
                <c:formatCode>General</c:formatCode>
                <c:ptCount val="12"/>
                <c:pt idx="0">
                  <c:v>11100</c:v>
                </c:pt>
                <c:pt idx="1">
                  <c:v>16350</c:v>
                </c:pt>
                <c:pt idx="2">
                  <c:v>2850</c:v>
                </c:pt>
                <c:pt idx="5">
                  <c:v>4950</c:v>
                </c:pt>
                <c:pt idx="6">
                  <c:v>2250</c:v>
                </c:pt>
                <c:pt idx="9">
                  <c:v>5250</c:v>
                </c:pt>
                <c:pt idx="10">
                  <c:v>3000</c:v>
                </c:pt>
              </c:numCache>
            </c:numRef>
          </c:val>
          <c:extLst>
            <c:ext xmlns:c16="http://schemas.microsoft.com/office/drawing/2014/chart" uri="{C3380CC4-5D6E-409C-BE32-E72D297353CC}">
              <c16:uniqueId val="{00000076-EF29-46A9-8235-16C23945385A}"/>
            </c:ext>
          </c:extLst>
        </c:ser>
        <c:ser>
          <c:idx val="2"/>
          <c:order val="2"/>
          <c:tx>
            <c:strRef>
              <c:f>Sheet11!$D$3:$D$4</c:f>
              <c:strCache>
                <c:ptCount val="1"/>
                <c:pt idx="0">
                  <c:v>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Sheet11!$D$5:$D$17</c:f>
              <c:numCache>
                <c:formatCode>General</c:formatCode>
                <c:ptCount val="12"/>
                <c:pt idx="0">
                  <c:v>20400</c:v>
                </c:pt>
                <c:pt idx="1">
                  <c:v>19600</c:v>
                </c:pt>
                <c:pt idx="2">
                  <c:v>8800</c:v>
                </c:pt>
                <c:pt idx="3">
                  <c:v>4800</c:v>
                </c:pt>
                <c:pt idx="6">
                  <c:v>8600</c:v>
                </c:pt>
                <c:pt idx="7">
                  <c:v>4200</c:v>
                </c:pt>
                <c:pt idx="10">
                  <c:v>9200</c:v>
                </c:pt>
                <c:pt idx="11">
                  <c:v>5000</c:v>
                </c:pt>
              </c:numCache>
            </c:numRef>
          </c:val>
          <c:extLst>
            <c:ext xmlns:c16="http://schemas.microsoft.com/office/drawing/2014/chart" uri="{C3380CC4-5D6E-409C-BE32-E72D297353CC}">
              <c16:uniqueId val="{00000077-EF29-46A9-8235-16C23945385A}"/>
            </c:ext>
          </c:extLst>
        </c:ser>
        <c:ser>
          <c:idx val="3"/>
          <c:order val="3"/>
          <c:tx>
            <c:strRef>
              <c:f>Sheet11!$E$3:$E$4</c:f>
              <c:strCache>
                <c:ptCount val="1"/>
                <c:pt idx="0">
                  <c:v>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Sheet11!$E$5:$E$17</c:f>
              <c:numCache>
                <c:formatCode>General</c:formatCode>
                <c:ptCount val="12"/>
                <c:pt idx="0">
                  <c:v>16250</c:v>
                </c:pt>
                <c:pt idx="1">
                  <c:v>21250</c:v>
                </c:pt>
                <c:pt idx="3">
                  <c:v>7250</c:v>
                </c:pt>
                <c:pt idx="4">
                  <c:v>4000</c:v>
                </c:pt>
                <c:pt idx="7">
                  <c:v>7250</c:v>
                </c:pt>
                <c:pt idx="8">
                  <c:v>3500</c:v>
                </c:pt>
                <c:pt idx="11">
                  <c:v>7750</c:v>
                </c:pt>
              </c:numCache>
            </c:numRef>
          </c:val>
          <c:extLst>
            <c:ext xmlns:c16="http://schemas.microsoft.com/office/drawing/2014/chart" uri="{C3380CC4-5D6E-409C-BE32-E72D297353CC}">
              <c16:uniqueId val="{00000079-EF29-46A9-8235-16C23945385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[Product_dataset.xlsx]Sheet12!PivotTable13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Of Each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Sheet12!$A$4:$A$6</c:f>
              <c:strCache>
                <c:ptCount val="2"/>
                <c:pt idx="0">
                  <c:v>North</c:v>
                </c:pt>
                <c:pt idx="1">
                  <c:v>South</c:v>
                </c:pt>
              </c:strCache>
            </c:strRef>
          </c:cat>
          <c:val>
            <c:numRef>
              <c:f>Sheet12!$B$4:$B$6</c:f>
              <c:numCache>
                <c:formatCode>General</c:formatCode>
                <c:ptCount val="2"/>
                <c:pt idx="0">
                  <c:v>117450</c:v>
                </c:pt>
                <c:pt idx="1">
                  <c:v>99550</c:v>
                </c:pt>
              </c:numCache>
            </c:numRef>
          </c:val>
          <c:extLst>
            <c:ext xmlns:c16="http://schemas.microsoft.com/office/drawing/2014/chart" uri="{C3380CC4-5D6E-409C-BE32-E72D297353CC}">
              <c16:uniqueId val="{00000000-1A12-4C70-AAEA-29E2A93D7617}"/>
            </c:ext>
          </c:extLst>
        </c:ser>
        <c:dLbls>
          <c:dLblPos val="outEnd"/>
          <c:showLegendKey val="0"/>
          <c:showVal val="1"/>
          <c:showCatName val="0"/>
          <c:showSerName val="0"/>
          <c:showPercent val="0"/>
          <c:showBubbleSize val="0"/>
        </c:dLbls>
        <c:gapWidth val="100"/>
        <c:overlap val="-24"/>
        <c:axId val="1600834687"/>
        <c:axId val="1600833247"/>
      </c:barChart>
      <c:catAx>
        <c:axId val="16008346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0833247"/>
        <c:crosses val="autoZero"/>
        <c:auto val="1"/>
        <c:lblAlgn val="ctr"/>
        <c:lblOffset val="100"/>
        <c:noMultiLvlLbl val="0"/>
      </c:catAx>
      <c:valAx>
        <c:axId val="16008332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083468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[Product_dataset.xlsx]Sheet13!PivotTable18</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of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Sheet13!$A$4:$A$7</c:f>
              <c:strCache>
                <c:ptCount val="4"/>
                <c:pt idx="0">
                  <c:v>A</c:v>
                </c:pt>
                <c:pt idx="1">
                  <c:v>B</c:v>
                </c:pt>
                <c:pt idx="2">
                  <c:v>C</c:v>
                </c:pt>
                <c:pt idx="3">
                  <c:v>D</c:v>
                </c:pt>
              </c:strCache>
            </c:strRef>
          </c:cat>
          <c:val>
            <c:numRef>
              <c:f>Sheet13!$B$4:$B$7</c:f>
              <c:numCache>
                <c:formatCode>General</c:formatCode>
                <c:ptCount val="4"/>
                <c:pt idx="0">
                  <c:v>23400</c:v>
                </c:pt>
                <c:pt idx="1">
                  <c:v>45750</c:v>
                </c:pt>
                <c:pt idx="2">
                  <c:v>80600</c:v>
                </c:pt>
                <c:pt idx="3">
                  <c:v>67250</c:v>
                </c:pt>
              </c:numCache>
            </c:numRef>
          </c:val>
          <c:extLst>
            <c:ext xmlns:c16="http://schemas.microsoft.com/office/drawing/2014/chart" uri="{C3380CC4-5D6E-409C-BE32-E72D297353CC}">
              <c16:uniqueId val="{00000000-B5E9-43A6-BE9E-E0C54049AB7A}"/>
            </c:ext>
          </c:extLst>
        </c:ser>
        <c:dLbls>
          <c:dLblPos val="outEnd"/>
          <c:showLegendKey val="0"/>
          <c:showVal val="1"/>
          <c:showCatName val="0"/>
          <c:showSerName val="0"/>
          <c:showPercent val="0"/>
          <c:showBubbleSize val="0"/>
        </c:dLbls>
        <c:gapWidth val="100"/>
        <c:overlap val="-24"/>
        <c:axId val="319858271"/>
        <c:axId val="319855871"/>
      </c:barChart>
      <c:catAx>
        <c:axId val="3198582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855871"/>
        <c:crosses val="autoZero"/>
        <c:auto val="1"/>
        <c:lblAlgn val="ctr"/>
        <c:lblOffset val="100"/>
        <c:noMultiLvlLbl val="0"/>
      </c:catAx>
      <c:valAx>
        <c:axId val="31985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8582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[Product_dataset.xlsx]Sheet14!PivotTable19</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Sheet14!$A$4:$A$7</c:f>
              <c:strCache>
                <c:ptCount val="3"/>
                <c:pt idx="0">
                  <c:v>January</c:v>
                </c:pt>
                <c:pt idx="1">
                  <c:v>February</c:v>
                </c:pt>
                <c:pt idx="2">
                  <c:v>March</c:v>
                </c:pt>
              </c:strCache>
            </c:strRef>
          </c:cat>
          <c:val>
            <c:numRef>
              <c:f>Sheet14!$B$4:$B$7</c:f>
              <c:numCache>
                <c:formatCode>General</c:formatCode>
                <c:ptCount val="3"/>
                <c:pt idx="0">
                  <c:v>16.818181818181817</c:v>
                </c:pt>
                <c:pt idx="1">
                  <c:v>17.25</c:v>
                </c:pt>
                <c:pt idx="2">
                  <c:v>18.333333333333332</c:v>
                </c:pt>
              </c:numCache>
            </c:numRef>
          </c:val>
          <c:extLst>
            <c:ext xmlns:c16="http://schemas.microsoft.com/office/drawing/2014/chart" uri="{C3380CC4-5D6E-409C-BE32-E72D297353CC}">
              <c16:uniqueId val="{00000000-B001-420C-8760-5DD905606DDD}"/>
            </c:ext>
          </c:extLst>
        </c:ser>
        <c:dLbls>
          <c:dLblPos val="outEnd"/>
          <c:showLegendKey val="0"/>
          <c:showVal val="1"/>
          <c:showCatName val="0"/>
          <c:showSerName val="0"/>
          <c:showPercent val="0"/>
          <c:showBubbleSize val="0"/>
        </c:dLbls>
        <c:gapWidth val="100"/>
        <c:overlap val="-24"/>
        <c:axId val="272321231"/>
        <c:axId val="272336111"/>
      </c:barChart>
      <c:catAx>
        <c:axId val="272321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36111"/>
        <c:crosses val="autoZero"/>
        <c:auto val="1"/>
        <c:lblAlgn val="ctr"/>
        <c:lblOffset val="100"/>
        <c:noMultiLvlLbl val="0"/>
      </c:catAx>
      <c:valAx>
        <c:axId val="27233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21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[Product_dataset.xlsx]Sheet15!PivotTable21</c:name>
    <c:fmtId val="7"/>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Sheet15!$B$3:$B$4</c:f>
              <c:strCache>
                <c:ptCount val="1"/>
                <c:pt idx="0">
                  <c:v>North</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Sheet15!$A$5:$A$10</c:f>
              <c:strCache>
                <c:ptCount val="5"/>
                <c:pt idx="0">
                  <c:v>A</c:v>
                </c:pt>
                <c:pt idx="1">
                  <c:v>B</c:v>
                </c:pt>
                <c:pt idx="2">
                  <c:v>C</c:v>
                </c:pt>
                <c:pt idx="3">
                  <c:v>D</c:v>
                </c:pt>
                <c:pt idx="4">
                  <c:v>(blank)</c:v>
                </c:pt>
              </c:strCache>
            </c:strRef>
          </c:cat>
          <c:val>
            <c:numRef>
              <c:f>Sheet15!$B$5:$B$10</c:f>
              <c:numCache>
                <c:formatCode>General</c:formatCode>
                <c:ptCount val="5"/>
                <c:pt idx="0">
                  <c:v>12600</c:v>
                </c:pt>
                <c:pt idx="1">
                  <c:v>25650</c:v>
                </c:pt>
                <c:pt idx="2">
                  <c:v>43200</c:v>
                </c:pt>
                <c:pt idx="3">
                  <c:v>36000</c:v>
                </c:pt>
              </c:numCache>
            </c:numRef>
          </c:val>
          <c:extLst>
            <c:ext xmlns:c16="http://schemas.microsoft.com/office/drawing/2014/chart" uri="{C3380CC4-5D6E-409C-BE32-E72D297353CC}">
              <c16:uniqueId val="{00000000-B217-4338-8A3F-2858B7077868}"/>
            </c:ext>
          </c:extLst>
        </c:ser>
        <c:ser>
          <c:idx val="1"/>
          <c:order val="1"/>
          <c:tx>
            <c:strRef>
              <c:f>Sheet15!$C$3:$C$4</c:f>
              <c:strCache>
                <c:ptCount val="1"/>
                <c:pt idx="0">
                  <c:v>South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Sheet15!$A$5:$A$10</c:f>
              <c:strCache>
                <c:ptCount val="5"/>
                <c:pt idx="0">
                  <c:v>A</c:v>
                </c:pt>
                <c:pt idx="1">
                  <c:v>B</c:v>
                </c:pt>
                <c:pt idx="2">
                  <c:v>C</c:v>
                </c:pt>
                <c:pt idx="3">
                  <c:v>D</c:v>
                </c:pt>
                <c:pt idx="4">
                  <c:v>(blank)</c:v>
                </c:pt>
              </c:strCache>
            </c:strRef>
          </c:cat>
          <c:val>
            <c:numRef>
              <c:f>Sheet15!$C$5:$C$10</c:f>
              <c:numCache>
                <c:formatCode>General</c:formatCode>
                <c:ptCount val="5"/>
                <c:pt idx="0">
                  <c:v>10800</c:v>
                </c:pt>
                <c:pt idx="1">
                  <c:v>20100</c:v>
                </c:pt>
                <c:pt idx="2">
                  <c:v>37400</c:v>
                </c:pt>
                <c:pt idx="3">
                  <c:v>31250</c:v>
                </c:pt>
              </c:numCache>
            </c:numRef>
          </c:val>
          <c:extLst>
            <c:ext xmlns:c16="http://schemas.microsoft.com/office/drawing/2014/chart" uri="{C3380CC4-5D6E-409C-BE32-E72D297353CC}">
              <c16:uniqueId val="{00000001-B217-4338-8A3F-2858B7077868}"/>
            </c:ext>
          </c:extLst>
        </c:ser>
        <c:ser>
          <c:idx val="2"/>
          <c:order val="2"/>
          <c:tx>
            <c:strRef>
              <c:f>Sheet15!$D$3:$D$4</c:f>
              <c:strCache>
                <c:ptCount val="1"/>
                <c:pt idx="0">
                  <c:v>(blank)</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Sheet15!$A$5:$A$10</c:f>
              <c:strCache>
                <c:ptCount val="5"/>
                <c:pt idx="0">
                  <c:v>A</c:v>
                </c:pt>
                <c:pt idx="1">
                  <c:v>B</c:v>
                </c:pt>
                <c:pt idx="2">
                  <c:v>C</c:v>
                </c:pt>
                <c:pt idx="3">
                  <c:v>D</c:v>
                </c:pt>
                <c:pt idx="4">
                  <c:v>(blank)</c:v>
                </c:pt>
              </c:strCache>
            </c:strRef>
          </c:cat>
          <c:val>
            <c:numRef>
              <c:f>Sheet15!$D$5:$D$10</c:f>
              <c:numCache>
                <c:formatCode>General</c:formatCode>
                <c:ptCount val="5"/>
              </c:numCache>
            </c:numRef>
          </c:val>
          <c:extLst>
            <c:ext xmlns:c16="http://schemas.microsoft.com/office/drawing/2014/chart" uri="{C3380CC4-5D6E-409C-BE32-E72D297353CC}">
              <c16:uniqueId val="{00000002-B217-4338-8A3F-2858B7077868}"/>
            </c:ext>
          </c:extLst>
        </c:ser>
        <c:dLbls>
          <c:dLblPos val="ctr"/>
          <c:showLegendKey val="0"/>
          <c:showVal val="1"/>
          <c:showCatName val="0"/>
          <c:showSerName val="0"/>
          <c:showPercent val="0"/>
          <c:showBubbleSize val="0"/>
        </c:dLbls>
        <c:gapWidth val="150"/>
        <c:overlap val="100"/>
        <c:axId val="1406292783"/>
        <c:axId val="1406293263"/>
      </c:barChart>
      <c:catAx>
        <c:axId val="140629278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6293263"/>
        <c:crosses val="autoZero"/>
        <c:auto val="1"/>
        <c:lblAlgn val="ctr"/>
        <c:lblOffset val="100"/>
        <c:noMultiLvlLbl val="0"/>
      </c:catAx>
      <c:valAx>
        <c:axId val="140629326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629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[Product_dataset.xlsx]Sheet16!PivotTable22</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Sheet16!$B$3:$B$4</c:f>
              <c:strCache>
                <c:ptCount val="1"/>
                <c:pt idx="0">
                  <c:v>North</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Sheet16!$A$5:$A$17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Sheet16!$B$5:$B$17</c:f>
              <c:numCache>
                <c:formatCode>General</c:formatCode>
                <c:ptCount val="12"/>
                <c:pt idx="0">
                  <c:v>25000</c:v>
                </c:pt>
                <c:pt idx="1">
                  <c:v>37500</c:v>
                </c:pt>
                <c:pt idx="2">
                  <c:v>6850</c:v>
                </c:pt>
                <c:pt idx="3">
                  <c:v>7800</c:v>
                </c:pt>
                <c:pt idx="4">
                  <c:v>5800</c:v>
                </c:pt>
                <c:pt idx="5">
                  <c:v>3450</c:v>
                </c:pt>
                <c:pt idx="6">
                  <c:v>5600</c:v>
                </c:pt>
                <c:pt idx="7">
                  <c:v>5000</c:v>
                </c:pt>
                <c:pt idx="8">
                  <c:v>1100</c:v>
                </c:pt>
                <c:pt idx="9">
                  <c:v>3900</c:v>
                </c:pt>
                <c:pt idx="10">
                  <c:v>7200</c:v>
                </c:pt>
                <c:pt idx="11">
                  <c:v>8250</c:v>
                </c:pt>
              </c:numCache>
            </c:numRef>
          </c:val>
          <c:smooth val="0"/>
          <c:extLst>
            <c:ext xmlns:c16="http://schemas.microsoft.com/office/drawing/2014/chart" uri="{C3380CC4-5D6E-409C-BE32-E72D297353CC}">
              <c16:uniqueId val="{00000000-4C92-4689-940C-7F650C2A20D5}"/>
            </c:ext>
          </c:extLst>
        </c:ser>
        <c:ser>
          <c:idx val="1"/>
          <c:order val="1"/>
          <c:tx>
            <c:strRef>
              <c:f>Sheet16!$C$3:$C$4</c:f>
              <c:strCache>
                <c:ptCount val="1"/>
                <c:pt idx="0">
                  <c:v>South</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Sheet16!$A$5:$A$17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Sheet16!$C$5:$C$17</c:f>
              <c:numCache>
                <c:formatCode>General</c:formatCode>
                <c:ptCount val="12"/>
                <c:pt idx="0">
                  <c:v>30750</c:v>
                </c:pt>
                <c:pt idx="1">
                  <c:v>27100</c:v>
                </c:pt>
                <c:pt idx="2">
                  <c:v>4800</c:v>
                </c:pt>
                <c:pt idx="3">
                  <c:v>4250</c:v>
                </c:pt>
                <c:pt idx="4">
                  <c:v>800</c:v>
                </c:pt>
                <c:pt idx="5">
                  <c:v>2700</c:v>
                </c:pt>
                <c:pt idx="6">
                  <c:v>5250</c:v>
                </c:pt>
                <c:pt idx="7">
                  <c:v>6450</c:v>
                </c:pt>
                <c:pt idx="8">
                  <c:v>5100</c:v>
                </c:pt>
                <c:pt idx="9">
                  <c:v>2850</c:v>
                </c:pt>
                <c:pt idx="10">
                  <c:v>5000</c:v>
                </c:pt>
                <c:pt idx="11">
                  <c:v>4500</c:v>
                </c:pt>
              </c:numCache>
            </c:numRef>
          </c:val>
          <c:smooth val="0"/>
          <c:extLst>
            <c:ext xmlns:c16="http://schemas.microsoft.com/office/drawing/2014/chart" uri="{C3380CC4-5D6E-409C-BE32-E72D297353CC}">
              <c16:uniqueId val="{00000001-4C92-4689-940C-7F650C2A20D5}"/>
            </c:ext>
          </c:extLst>
        </c:ser>
        <c:dLbls>
          <c:showLegendKey val="0"/>
          <c:showVal val="0"/>
          <c:showCatName val="0"/>
          <c:showSerName val="0"/>
          <c:showPercent val="0"/>
          <c:showBubbleSize val="0"/>
        </c:dLbls>
        <c:marker val="1"/>
        <c:smooth val="0"/>
        <c:axId val="316260079"/>
        <c:axId val="316258159"/>
      </c:lineChart>
      <c:catAx>
        <c:axId val="316260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16258159"/>
        <c:crosses val="autoZero"/>
        <c:auto val="1"/>
        <c:lblAlgn val="ctr"/>
        <c:lblOffset val="100"/>
        <c:noMultiLvlLbl val="0"/>
      </c:catAx>
      <c:valAx>
        <c:axId val="31625815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26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[Product_dataset.xlsx]Sheet17!PivotTable23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Selling</a:t>
            </a:r>
            <a:r>
              <a:rPr lang="en-US" baseline="0"/>
              <a: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Sheet17!$B$3</c:f>
              <c:strCache>
                <c:ptCount val="1"/>
                <c:pt idx="0">
                  <c:v>Total</c:v>
                </c:pt>
              </c:strCache>
            </c:strRef>
          </c:tx>
          <c:spPr>
            <a:solidFill>
              <a:schemeClr val="accent1"/>
            </a:solidFill>
            <a:ln>
              <a:noFill/>
            </a:ln>
            <a:effectLst/>
          </c:spPr>
          <c:invertIfNegative val="0"/>
          <c:cat>
            <c:strRef>
              <c:f>Sheet17!$A$4:$A$6</c:f>
              <c:strCache>
                <c:ptCount val="2"/>
                <c:pt idx="0">
                  <c:v>North</c:v>
                </c:pt>
                <c:pt idx="1">
                  <c:v>South</c:v>
                </c:pt>
              </c:strCache>
            </c:strRef>
          </c:cat>
          <c:val>
            <c:numRef>
              <c:f>Sheet17!$B$4:$B$6</c:f>
              <c:numCache>
                <c:formatCode>General</c:formatCode>
                <c:ptCount val="2"/>
                <c:pt idx="0">
                  <c:v>630</c:v>
                </c:pt>
                <c:pt idx="1">
                  <c:v>630</c:v>
                </c:pt>
              </c:numCache>
            </c:numRef>
          </c:val>
          <c:extLst>
            <c:ext xmlns:c16="http://schemas.microsoft.com/office/drawing/2014/chart" uri="{C3380CC4-5D6E-409C-BE32-E72D297353CC}">
              <c16:uniqueId val="{00000000-47F6-4603-B105-81E0A4F0E8A2}"/>
            </c:ext>
          </c:extLst>
        </c:ser>
        <c:dLbls>
          <c:showLegendKey val="0"/>
          <c:showVal val="0"/>
          <c:showCatName val="0"/>
          <c:showSerName val="0"/>
          <c:showPercent val="0"/>
          <c:showBubbleSize val="0"/>
        </c:dLbls>
        <c:gapWidth val="219"/>
        <c:overlap val="-27"/>
        <c:axId val="1439363007"/>
        <c:axId val="1439367807"/>
      </c:barChart>
      <c:catAx>
        <c:axId val="143936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367807"/>
        <c:crosses val="autoZero"/>
        <c:auto val="1"/>
        <c:lblAlgn val="ctr"/>
        <c:lblOffset val="100"/>
        <c:noMultiLvlLbl val="0"/>
      </c:catAx>
      <c:valAx>
        <c:axId val="143936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363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[Product_dataset.xlsx]Sheet18!PivotTable24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 of Each Cell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B8-4B74-8645-DD8724C9B8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B8-4B74-8645-DD8724C9B8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Sheet18!$A$4:$A$6</c:f>
              <c:strCache>
                <c:ptCount val="2"/>
                <c:pt idx="0">
                  <c:v>North</c:v>
                </c:pt>
                <c:pt idx="1">
                  <c:v>South</c:v>
                </c:pt>
              </c:strCache>
            </c:strRef>
          </c:cat>
          <c:val>
            <c:numRef>
              <c:f>Sheet18!$B$4:$B$6</c:f>
              <c:numCache>
                <c:formatCode>General</c:formatCode>
                <c:ptCount val="2"/>
                <c:pt idx="0">
                  <c:v>117450</c:v>
                </c:pt>
                <c:pt idx="1">
                  <c:v>99550</c:v>
                </c:pt>
              </c:numCache>
            </c:numRef>
          </c:val>
          <c:extLst>
            <c:ext xmlns:c16="http://schemas.microsoft.com/office/drawing/2014/chart" uri="{C3380CC4-5D6E-409C-BE32-E72D297353CC}">
              <c16:uniqueId val="{00000004-B4B8-4B74-8645-DD8724C9B87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4572000</xdr:colOff>
      <xdr:row>17</xdr:row>
      <xdr:rowOff>60960</xdr:rowOff>
    </xdr:to>
    <xdr:graphicFrame macro="">
      <xdr:nvGraphicFramePr>
        <xdr:cNvPr id="2" name="Chart 1">
          <a:extLst>
            <a:ext uri="{FF2B5EF4-FFF2-40B4-BE49-F238E27FC236}">
              <a16:creationId xmlns:a16="http://schemas.microsoft.com/office/drawing/2014/main" id="{AE80EDDF-BBDE-403B-9825-06FB727BB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56444</xdr:rowOff>
    </xdr:from>
    <xdr:to>
      <xdr:col>0</xdr:col>
      <xdr:colOff>4557888</xdr:colOff>
      <xdr:row>34</xdr:row>
      <xdr:rowOff>131702</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E5FC833-4656-DA69-4867-57D2187CCF9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3908777"/>
              <a:ext cx="4557888" cy="295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4533900</xdr:colOff>
      <xdr:row>0</xdr:row>
      <xdr:rowOff>1127760</xdr:rowOff>
    </xdr:from>
    <xdr:to>
      <xdr:col>0</xdr:col>
      <xdr:colOff>9588500</xdr:colOff>
      <xdr:row>17</xdr:row>
      <xdr:rowOff>53340</xdr:rowOff>
    </xdr:to>
    <xdr:graphicFrame macro="">
      <xdr:nvGraphicFramePr>
        <xdr:cNvPr id="4" name="Chart 3">
          <a:extLst>
            <a:ext uri="{FF2B5EF4-FFF2-40B4-BE49-F238E27FC236}">
              <a16:creationId xmlns:a16="http://schemas.microsoft.com/office/drawing/2014/main" id="{D6EC0A33-C705-46DA-A7D7-7FAC798C0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12080725</xdr:colOff>
      <xdr:row>0</xdr:row>
      <xdr:rowOff>1082871</xdr:rowOff>
    </xdr:from>
    <xdr:to>
      <xdr:col>0</xdr:col>
      <xdr:colOff>17185080</xdr:colOff>
      <xdr:row>17</xdr:row>
      <xdr:rowOff>6050</xdr:rowOff>
    </xdr:to>
    <xdr:graphicFrame macro="">
      <xdr:nvGraphicFramePr>
        <xdr:cNvPr id="5" name="Chart 4">
          <a:extLst>
            <a:ext uri="{FF2B5EF4-FFF2-40B4-BE49-F238E27FC236}">
              <a16:creationId xmlns:a16="http://schemas.microsoft.com/office/drawing/2014/main" id="{A0505881-5522-45A3-BC81-3BF152165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9583052</xdr:colOff>
      <xdr:row>0</xdr:row>
      <xdr:rowOff>1100667</xdr:rowOff>
    </xdr:from>
    <xdr:to>
      <xdr:col>0</xdr:col>
      <xdr:colOff>12082412</xdr:colOff>
      <xdr:row>17</xdr:row>
      <xdr:rowOff>17637</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465A06E9-B6CE-428C-9B02-2A3F7A1A834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583052" y="1100667"/>
              <a:ext cx="2499360" cy="2769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12653100</xdr:colOff>
      <xdr:row>17</xdr:row>
      <xdr:rowOff>9684</xdr:rowOff>
    </xdr:from>
    <xdr:to>
      <xdr:col>0</xdr:col>
      <xdr:colOff>17187333</xdr:colOff>
      <xdr:row>34</xdr:row>
      <xdr:rowOff>131703</xdr:rowOff>
    </xdr:to>
    <xdr:graphicFrame macro="">
      <xdr:nvGraphicFramePr>
        <xdr:cNvPr id="8" name="Chart 7">
          <a:extLst>
            <a:ext uri="{FF2B5EF4-FFF2-40B4-BE49-F238E27FC236}">
              <a16:creationId xmlns:a16="http://schemas.microsoft.com/office/drawing/2014/main" id="{408981E5-673F-4597-95E6-1FB95D311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10865555</xdr:colOff>
      <xdr:row>17</xdr:row>
      <xdr:rowOff>18815</xdr:rowOff>
    </xdr:from>
    <xdr:to>
      <xdr:col>0</xdr:col>
      <xdr:colOff>12694355</xdr:colOff>
      <xdr:row>34</xdr:row>
      <xdr:rowOff>141111</xdr:rowOff>
    </xdr:to>
    <mc:AlternateContent xmlns:mc="http://schemas.openxmlformats.org/markup-compatibility/2006">
      <mc:Choice xmlns:a14="http://schemas.microsoft.com/office/drawing/2010/main" Requires="a14">
        <xdr:graphicFrame macro="">
          <xdr:nvGraphicFramePr>
            <xdr:cNvPr id="9" name="Days(Months)">
              <a:extLst>
                <a:ext uri="{FF2B5EF4-FFF2-40B4-BE49-F238E27FC236}">
                  <a16:creationId xmlns:a16="http://schemas.microsoft.com/office/drawing/2014/main" id="{325931B4-7622-4A76-8B20-A19655F3D645}"/>
                </a:ext>
              </a:extLst>
            </xdr:cNvPr>
            <xdr:cNvGraphicFramePr/>
          </xdr:nvGraphicFramePr>
          <xdr:xfrm>
            <a:off x="0" y="0"/>
            <a:ext cx="0" cy="0"/>
          </xdr:xfrm>
          <a:graphic>
            <a:graphicData uri="http://schemas.microsoft.com/office/drawing/2010/slicer">
              <sle:slicer xmlns:sle="http://schemas.microsoft.com/office/drawing/2010/slicer" name="Days(Months)"/>
            </a:graphicData>
          </a:graphic>
        </xdr:graphicFrame>
      </mc:Choice>
      <mc:Fallback>
        <xdr:sp macro="" textlink="">
          <xdr:nvSpPr>
            <xdr:cNvPr id="0" name=""/>
            <xdr:cNvSpPr>
              <a:spLocks noTextEdit="1"/>
            </xdr:cNvSpPr>
          </xdr:nvSpPr>
          <xdr:spPr>
            <a:xfrm>
              <a:off x="10865555" y="3871148"/>
              <a:ext cx="1828800" cy="3000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4562594</xdr:colOff>
      <xdr:row>17</xdr:row>
      <xdr:rowOff>18814</xdr:rowOff>
    </xdr:from>
    <xdr:to>
      <xdr:col>0</xdr:col>
      <xdr:colOff>10874963</xdr:colOff>
      <xdr:row>34</xdr:row>
      <xdr:rowOff>148444</xdr:rowOff>
    </xdr:to>
    <xdr:graphicFrame macro="">
      <xdr:nvGraphicFramePr>
        <xdr:cNvPr id="10" name="Chart 9">
          <a:extLst>
            <a:ext uri="{FF2B5EF4-FFF2-40B4-BE49-F238E27FC236}">
              <a16:creationId xmlns:a16="http://schemas.microsoft.com/office/drawing/2014/main" id="{27390828-D4EC-41E2-907D-7F1B31AA9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10583</xdr:colOff>
      <xdr:row>1</xdr:row>
      <xdr:rowOff>118957</xdr:rowOff>
    </xdr:from>
    <xdr:to>
      <xdr:col>0</xdr:col>
      <xdr:colOff>4847166</xdr:colOff>
      <xdr:row>20</xdr:row>
      <xdr:rowOff>21167</xdr:rowOff>
    </xdr:to>
    <xdr:graphicFrame macro="">
      <xdr:nvGraphicFramePr>
        <xdr:cNvPr id="2" name="Chart 1">
          <a:extLst>
            <a:ext uri="{FF2B5EF4-FFF2-40B4-BE49-F238E27FC236}">
              <a16:creationId xmlns:a16="http://schemas.microsoft.com/office/drawing/2014/main" id="{C37271B6-DDD4-48A1-89FE-54B908800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4802605</xdr:colOff>
      <xdr:row>1</xdr:row>
      <xdr:rowOff>125439</xdr:rowOff>
    </xdr:from>
    <xdr:to>
      <xdr:col>1</xdr:col>
      <xdr:colOff>43470</xdr:colOff>
      <xdr:row>20</xdr:row>
      <xdr:rowOff>555</xdr:rowOff>
    </xdr:to>
    <xdr:graphicFrame macro="">
      <xdr:nvGraphicFramePr>
        <xdr:cNvPr id="3" name="Chart 2">
          <a:extLst>
            <a:ext uri="{FF2B5EF4-FFF2-40B4-BE49-F238E27FC236}">
              <a16:creationId xmlns:a16="http://schemas.microsoft.com/office/drawing/2014/main" id="{79D325D7-AE93-4FE2-B961-9C34848F1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11141</xdr:rowOff>
    </xdr:from>
    <xdr:to>
      <xdr:col>0</xdr:col>
      <xdr:colOff>4836583</xdr:colOff>
      <xdr:row>36</xdr:row>
      <xdr:rowOff>114434</xdr:rowOff>
    </xdr:to>
    <xdr:graphicFrame macro="">
      <xdr:nvGraphicFramePr>
        <xdr:cNvPr id="4" name="Chart 3">
          <a:extLst>
            <a:ext uri="{FF2B5EF4-FFF2-40B4-BE49-F238E27FC236}">
              <a16:creationId xmlns:a16="http://schemas.microsoft.com/office/drawing/2014/main" id="{4872FA3B-FD6C-45E7-95C9-88062E559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4815975</xdr:colOff>
      <xdr:row>19</xdr:row>
      <xdr:rowOff>157078</xdr:rowOff>
    </xdr:from>
    <xdr:to>
      <xdr:col>1</xdr:col>
      <xdr:colOff>21724</xdr:colOff>
      <xdr:row>36</xdr:row>
      <xdr:rowOff>146495</xdr:rowOff>
    </xdr:to>
    <xdr:graphicFrame macro="">
      <xdr:nvGraphicFramePr>
        <xdr:cNvPr id="5" name="Chart 4">
          <a:extLst>
            <a:ext uri="{FF2B5EF4-FFF2-40B4-BE49-F238E27FC236}">
              <a16:creationId xmlns:a16="http://schemas.microsoft.com/office/drawing/2014/main" id="{21571863-AE67-4D89-85AD-D862F1B0A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26.549217824075" createdVersion="8" refreshedVersion="8" minRefreshableVersion="3" recordCount="72" xr:uid="{735DDAEC-494B-47ED-81EA-1DC81CE29E7E}">
  <cacheSource type="worksheet">
    <worksheetSource ref="A1:F73" sheet="Sheet1"/>
  </cacheSource>
  <cacheFields count="5">
    <cacheField name="Date" numFmtId="0">
      <sharedItems containsDate="1" containsMixedTypes="1" minDate="2024-01-01T00:00:00" maxDate="2024-12-04T00:00:00" count="72">
        <d v="2024-01-01T00:00:00"/>
        <d v="2024-02-01T00:00:00"/>
        <d v="2024-03-01T00:00:00"/>
        <d v="2024-04-01T00:00:00"/>
        <d v="2024-05-01T00:00:00"/>
        <d v="2024-06-01T00:00:00"/>
        <d v="2024-07-01T00:00:00"/>
        <d v="2024-08-01T00:00:00"/>
        <d v="2024-09-01T00:00:00"/>
        <d v="2024-10-01T00:00:00"/>
        <d v="2024-11-01T00:00:00"/>
        <d v="2024-12-01T00:00:00"/>
        <s v="13-01-2024"/>
        <s v="14-01-2024"/>
        <s v="15-01-2024"/>
        <s v="16-01-2024"/>
        <s v="17-01-2024"/>
        <s v="18-01-2024"/>
        <s v="19-01-2024"/>
        <s v="20-01-2024"/>
        <s v="21-01-2024"/>
        <s v="22-01-2024"/>
        <s v="23-01-2024"/>
        <s v="24-01-2024"/>
        <s v="25-01-2024"/>
        <s v="26-01-2024"/>
        <s v="27-01-2024"/>
        <s v="28-01-2024"/>
        <s v="29-01-2024"/>
        <s v="30-01-2024"/>
        <s v="31-01-2024"/>
        <d v="2024-01-02T00:00:00"/>
        <d v="2024-02-02T00:00:00"/>
        <d v="2024-03-02T00:00:00"/>
        <d v="2024-04-02T00:00:00"/>
        <d v="2024-05-02T00:00:00"/>
        <d v="2024-06-02T00:00:00"/>
        <d v="2024-07-02T00:00:00"/>
        <d v="2024-08-02T00:00:00"/>
        <d v="2024-09-02T00:00:00"/>
        <d v="2024-10-02T00:00:00"/>
        <d v="2024-11-02T00:00:00"/>
        <d v="2024-12-02T00:00:00"/>
        <s v="13-02-2024"/>
        <s v="14-02-2024"/>
        <s v="15-02-2024"/>
        <s v="16-02-2024"/>
        <s v="17-02-2024"/>
        <s v="18-02-2024"/>
        <s v="19-02-2024"/>
        <s v="20-02-2024"/>
        <s v="21-02-2024"/>
        <s v="22-02-2024"/>
        <s v="23-02-2024"/>
        <s v="24-02-2024"/>
        <s v="25-02-2024"/>
        <s v="26-02-2024"/>
        <s v="27-02-2024"/>
        <s v="28-02-2024"/>
        <s v="29-02-2024"/>
        <d v="2024-01-03T00:00:00"/>
        <d v="2024-02-03T00:00:00"/>
        <d v="2024-03-03T00:00:00"/>
        <d v="2024-04-03T00:00:00"/>
        <d v="2024-05-03T00:00:00"/>
        <d v="2024-06-03T00:00:00"/>
        <d v="2024-07-03T00:00:00"/>
        <d v="2024-08-03T00:00:00"/>
        <d v="2024-09-03T00:00:00"/>
        <d v="2024-10-03T00:00:00"/>
        <d v="2024-11-03T00:00:00"/>
        <d v="2024-12-03T00:00:00"/>
      </sharedItems>
    </cacheField>
    <cacheField name="Product" numFmtId="0">
      <sharedItems count="4">
        <s v="A"/>
        <s v="B"/>
        <s v="C"/>
        <s v="D"/>
      </sharedItems>
    </cacheField>
    <cacheField name="Quantity" numFmtId="0">
      <sharedItems containsSemiMixedTypes="0" containsString="0" containsNumber="1" containsInteger="1" minValue="80" maxValue="280" count="21">
        <n v="100"/>
        <n v="150"/>
        <n v="200"/>
        <n v="120"/>
        <n v="80"/>
        <n v="90"/>
        <n v="110"/>
        <n v="160"/>
        <n v="210"/>
        <n v="130"/>
        <n v="180"/>
        <n v="170"/>
        <n v="220"/>
        <n v="140"/>
        <n v="190"/>
        <n v="230"/>
        <n v="240"/>
        <n v="250"/>
        <n v="260"/>
        <n v="270"/>
        <n v="280"/>
      </sharedItems>
    </cacheField>
    <cacheField name="Price" numFmtId="0">
      <sharedItems containsSemiMixedTypes="0" containsString="0" containsNumber="1" containsInteger="1" minValue="10" maxValue="25"/>
    </cacheField>
    <cacheField name="Region" numFmtId="0">
      <sharedItems/>
    </cacheField>
  </cacheFields>
  <extLst>
    <ext xmlns:x14="http://schemas.microsoft.com/office/spreadsheetml/2009/9/main" uri="{725AE2AE-9491-48be-B2B4-4EB974FC3084}">
      <x14:pivotCacheDefinition pivotCacheId="18299126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26.565924652779" createdVersion="8" refreshedVersion="8" minRefreshableVersion="3" recordCount="72" xr:uid="{951EB2C6-138A-4350-B753-72AA3F434491}">
  <cacheSource type="worksheet">
    <worksheetSource ref="A1:G73" sheet="Sheet1"/>
  </cacheSource>
  <cacheFields count="7">
    <cacheField name="Date" numFmtId="0">
      <sharedItems containsDate="1" containsMixedTypes="1" minDate="2024-01-01T00:00:00" maxDate="2024-12-04T00:00:00"/>
    </cacheField>
    <cacheField name="Days(Months)" numFmtId="164">
      <sharedItems count="12">
        <s v="January"/>
        <s v="February"/>
        <s v="March"/>
        <s v="April"/>
        <s v="May"/>
        <s v="June"/>
        <s v="July"/>
        <s v="August"/>
        <s v="September"/>
        <s v="October"/>
        <s v="November"/>
        <s v="December"/>
      </sharedItems>
    </cacheField>
    <cacheField name="Product" numFmtId="0">
      <sharedItems count="4">
        <s v="A"/>
        <s v="B"/>
        <s v="C"/>
        <s v="D"/>
      </sharedItems>
    </cacheField>
    <cacheField name="Quantity" numFmtId="0">
      <sharedItems containsSemiMixedTypes="0" containsString="0" containsNumber="1" containsInteger="1" minValue="80" maxValue="280"/>
    </cacheField>
    <cacheField name="Price" numFmtId="0">
      <sharedItems containsSemiMixedTypes="0" containsString="0" containsNumber="1" containsInteger="1" minValue="10" maxValue="25"/>
    </cacheField>
    <cacheField name="Region" numFmtId="0">
      <sharedItems count="2">
        <s v="North"/>
        <s v="South"/>
      </sharedItems>
    </cacheField>
    <cacheField name="Sales" numFmtId="0">
      <sharedItems containsSemiMixedTypes="0" containsString="0" containsNumber="1" containsInteger="1" minValue="800" maxValue="5600"/>
    </cacheField>
  </cacheFields>
  <extLst>
    <ext xmlns:x14="http://schemas.microsoft.com/office/spreadsheetml/2009/9/main" uri="{725AE2AE-9491-48be-B2B4-4EB974FC3084}">
      <x14:pivotCacheDefinition pivotCacheId="237030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26.57141365741" createdVersion="8" refreshedVersion="8" minRefreshableVersion="3" recordCount="72" xr:uid="{627049D4-AA42-44D6-BDA3-F516BAF49CA7}">
  <cacheSource type="worksheet">
    <worksheetSource ref="A1:G73" sheet="Sheet1"/>
  </cacheSource>
  <cacheFields count="7">
    <cacheField name="Date" numFmtId="0">
      <sharedItems containsDate="1" containsMixedTypes="1" minDate="2024-01-01T00:00:00" maxDate="2024-12-04T00:00:00"/>
    </cacheField>
    <cacheField name="Days(Months)" numFmtId="164">
      <sharedItems/>
    </cacheField>
    <cacheField name="Product" numFmtId="0">
      <sharedItems count="4">
        <s v="A"/>
        <s v="B"/>
        <s v="C"/>
        <s v="D"/>
      </sharedItems>
    </cacheField>
    <cacheField name="Quantity" numFmtId="0">
      <sharedItems containsSemiMixedTypes="0" containsString="0" containsNumber="1" containsInteger="1" minValue="80" maxValue="280"/>
    </cacheField>
    <cacheField name="Price" numFmtId="0">
      <sharedItems containsSemiMixedTypes="0" containsString="0" containsNumber="1" containsInteger="1" minValue="10" maxValue="25"/>
    </cacheField>
    <cacheField name="Region" numFmtId="0">
      <sharedItems/>
    </cacheField>
    <cacheField name="Sales" numFmtId="0">
      <sharedItems containsSemiMixedTypes="0" containsString="0" containsNumber="1" containsInteger="1" minValue="800" maxValue="5600"/>
    </cacheField>
  </cacheFields>
  <extLst>
    <ext xmlns:x14="http://schemas.microsoft.com/office/spreadsheetml/2009/9/main" uri="{725AE2AE-9491-48be-B2B4-4EB974FC3084}">
      <x14:pivotCacheDefinition pivotCacheId="53252108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26.586815625" createdVersion="8" refreshedVersion="8" minRefreshableVersion="3" recordCount="73" xr:uid="{7A525B3F-ACCA-42FA-A5B3-0E9A419C3749}">
  <cacheSource type="worksheet">
    <worksheetSource ref="A1:G1048576" sheet="Sheet1"/>
  </cacheSource>
  <cacheFields count="7">
    <cacheField name="Date" numFmtId="0">
      <sharedItems containsDate="1" containsBlank="1" containsMixedTypes="1" minDate="2024-01-01T00:00:00" maxDate="2024-12-04T00:00:00" count="73">
        <d v="2024-01-01T00:00:00"/>
        <d v="2024-02-01T00:00:00"/>
        <d v="2024-03-01T00:00:00"/>
        <d v="2024-04-01T00:00:00"/>
        <d v="2024-05-01T00:00:00"/>
        <d v="2024-06-01T00:00:00"/>
        <d v="2024-07-01T00:00:00"/>
        <d v="2024-08-01T00:00:00"/>
        <d v="2024-09-01T00:00:00"/>
        <d v="2024-10-01T00:00:00"/>
        <d v="2024-11-01T00:00:00"/>
        <d v="2024-12-01T00:00:00"/>
        <s v="13-01-2024"/>
        <s v="14-01-2024"/>
        <s v="15-01-2024"/>
        <s v="16-01-2024"/>
        <s v="17-01-2024"/>
        <s v="18-01-2024"/>
        <s v="19-01-2024"/>
        <s v="20-01-2024"/>
        <s v="21-01-2024"/>
        <s v="22-01-2024"/>
        <s v="23-01-2024"/>
        <s v="24-01-2024"/>
        <s v="25-01-2024"/>
        <s v="26-01-2024"/>
        <s v="27-01-2024"/>
        <s v="28-01-2024"/>
        <s v="29-01-2024"/>
        <s v="30-01-2024"/>
        <s v="31-01-2024"/>
        <d v="2024-01-02T00:00:00"/>
        <d v="2024-02-02T00:00:00"/>
        <d v="2024-03-02T00:00:00"/>
        <d v="2024-04-02T00:00:00"/>
        <d v="2024-05-02T00:00:00"/>
        <d v="2024-06-02T00:00:00"/>
        <d v="2024-07-02T00:00:00"/>
        <d v="2024-08-02T00:00:00"/>
        <d v="2024-09-02T00:00:00"/>
        <d v="2024-10-02T00:00:00"/>
        <d v="2024-11-02T00:00:00"/>
        <d v="2024-12-02T00:00:00"/>
        <s v="13-02-2024"/>
        <s v="14-02-2024"/>
        <s v="15-02-2024"/>
        <s v="16-02-2024"/>
        <s v="17-02-2024"/>
        <s v="18-02-2024"/>
        <s v="19-02-2024"/>
        <s v="20-02-2024"/>
        <s v="21-02-2024"/>
        <s v="22-02-2024"/>
        <s v="23-02-2024"/>
        <s v="24-02-2024"/>
        <s v="25-02-2024"/>
        <s v="26-02-2024"/>
        <s v="27-02-2024"/>
        <s v="28-02-2024"/>
        <s v="29-02-2024"/>
        <d v="2024-01-03T00:00:00"/>
        <d v="2024-02-03T00:00:00"/>
        <d v="2024-03-03T00:00:00"/>
        <d v="2024-04-03T00:00:00"/>
        <d v="2024-05-03T00:00:00"/>
        <d v="2024-06-03T00:00:00"/>
        <d v="2024-07-03T00:00:00"/>
        <d v="2024-08-03T00:00:00"/>
        <d v="2024-09-03T00:00:00"/>
        <d v="2024-10-03T00:00:00"/>
        <d v="2024-11-03T00:00:00"/>
        <d v="2024-12-03T00:00:00"/>
        <m/>
      </sharedItems>
    </cacheField>
    <cacheField name="Days(Months)" numFmtId="0">
      <sharedItems containsBlank="1" count="13">
        <s v="January"/>
        <s v="February"/>
        <s v="March"/>
        <s v="April"/>
        <s v="May"/>
        <s v="June"/>
        <s v="July"/>
        <s v="August"/>
        <s v="September"/>
        <s v="October"/>
        <s v="November"/>
        <s v="December"/>
        <m/>
      </sharedItems>
    </cacheField>
    <cacheField name="Product" numFmtId="0">
      <sharedItems containsBlank="1" count="5">
        <s v="A"/>
        <s v="B"/>
        <s v="C"/>
        <s v="D"/>
        <m/>
      </sharedItems>
    </cacheField>
    <cacheField name="Quantity" numFmtId="0">
      <sharedItems containsString="0" containsBlank="1" containsNumber="1" containsInteger="1" minValue="80" maxValue="280"/>
    </cacheField>
    <cacheField name="Price" numFmtId="0">
      <sharedItems containsString="0" containsBlank="1" containsNumber="1" containsInteger="1" minValue="10" maxValue="25" count="5">
        <n v="10"/>
        <n v="15"/>
        <n v="20"/>
        <n v="25"/>
        <m/>
      </sharedItems>
    </cacheField>
    <cacheField name="Region" numFmtId="0">
      <sharedItems containsBlank="1" count="3">
        <s v="North"/>
        <s v="South"/>
        <m/>
      </sharedItems>
    </cacheField>
    <cacheField name="Sales" numFmtId="0">
      <sharedItems containsString="0" containsBlank="1" containsNumber="1" containsInteger="1" minValue="800" maxValue="5600"/>
    </cacheField>
  </cacheFields>
  <extLst>
    <ext xmlns:x14="http://schemas.microsoft.com/office/spreadsheetml/2009/9/main" uri="{725AE2AE-9491-48be-B2B4-4EB974FC3084}">
      <x14:pivotCacheDefinition pivotCacheId="1726390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x v="0"/>
    <n v="10"/>
    <s v="North"/>
  </r>
  <r>
    <x v="1"/>
    <x v="1"/>
    <x v="1"/>
    <n v="15"/>
    <s v="North"/>
  </r>
  <r>
    <x v="2"/>
    <x v="2"/>
    <x v="2"/>
    <n v="20"/>
    <s v="North"/>
  </r>
  <r>
    <x v="3"/>
    <x v="3"/>
    <x v="3"/>
    <n v="25"/>
    <s v="North"/>
  </r>
  <r>
    <x v="4"/>
    <x v="0"/>
    <x v="4"/>
    <n v="10"/>
    <s v="South"/>
  </r>
  <r>
    <x v="5"/>
    <x v="1"/>
    <x v="0"/>
    <n v="15"/>
    <s v="South"/>
  </r>
  <r>
    <x v="6"/>
    <x v="2"/>
    <x v="1"/>
    <n v="20"/>
    <s v="South"/>
  </r>
  <r>
    <x v="7"/>
    <x v="3"/>
    <x v="5"/>
    <n v="25"/>
    <s v="South"/>
  </r>
  <r>
    <x v="8"/>
    <x v="0"/>
    <x v="6"/>
    <n v="10"/>
    <s v="North"/>
  </r>
  <r>
    <x v="9"/>
    <x v="1"/>
    <x v="7"/>
    <n v="15"/>
    <s v="North"/>
  </r>
  <r>
    <x v="10"/>
    <x v="2"/>
    <x v="8"/>
    <n v="20"/>
    <s v="North"/>
  </r>
  <r>
    <x v="11"/>
    <x v="3"/>
    <x v="9"/>
    <n v="25"/>
    <s v="North"/>
  </r>
  <r>
    <x v="12"/>
    <x v="0"/>
    <x v="5"/>
    <n v="10"/>
    <s v="South"/>
  </r>
  <r>
    <x v="13"/>
    <x v="1"/>
    <x v="3"/>
    <n v="15"/>
    <s v="South"/>
  </r>
  <r>
    <x v="14"/>
    <x v="2"/>
    <x v="10"/>
    <n v="20"/>
    <s v="South"/>
  </r>
  <r>
    <x v="15"/>
    <x v="3"/>
    <x v="6"/>
    <n v="25"/>
    <s v="South"/>
  </r>
  <r>
    <x v="16"/>
    <x v="0"/>
    <x v="3"/>
    <n v="10"/>
    <s v="North"/>
  </r>
  <r>
    <x v="17"/>
    <x v="1"/>
    <x v="11"/>
    <n v="15"/>
    <s v="North"/>
  </r>
  <r>
    <x v="18"/>
    <x v="2"/>
    <x v="12"/>
    <n v="20"/>
    <s v="North"/>
  </r>
  <r>
    <x v="19"/>
    <x v="3"/>
    <x v="13"/>
    <n v="25"/>
    <s v="North"/>
  </r>
  <r>
    <x v="20"/>
    <x v="0"/>
    <x v="0"/>
    <n v="10"/>
    <s v="South"/>
  </r>
  <r>
    <x v="21"/>
    <x v="1"/>
    <x v="9"/>
    <n v="15"/>
    <s v="South"/>
  </r>
  <r>
    <x v="22"/>
    <x v="2"/>
    <x v="14"/>
    <n v="20"/>
    <s v="South"/>
  </r>
  <r>
    <x v="23"/>
    <x v="3"/>
    <x v="3"/>
    <n v="25"/>
    <s v="South"/>
  </r>
  <r>
    <x v="24"/>
    <x v="0"/>
    <x v="9"/>
    <n v="10"/>
    <s v="North"/>
  </r>
  <r>
    <x v="25"/>
    <x v="1"/>
    <x v="10"/>
    <n v="15"/>
    <s v="North"/>
  </r>
  <r>
    <x v="26"/>
    <x v="2"/>
    <x v="15"/>
    <n v="20"/>
    <s v="North"/>
  </r>
  <r>
    <x v="27"/>
    <x v="3"/>
    <x v="1"/>
    <n v="25"/>
    <s v="North"/>
  </r>
  <r>
    <x v="28"/>
    <x v="0"/>
    <x v="6"/>
    <n v="10"/>
    <s v="South"/>
  </r>
  <r>
    <x v="29"/>
    <x v="1"/>
    <x v="13"/>
    <n v="15"/>
    <s v="South"/>
  </r>
  <r>
    <x v="30"/>
    <x v="2"/>
    <x v="2"/>
    <n v="20"/>
    <s v="South"/>
  </r>
  <r>
    <x v="31"/>
    <x v="3"/>
    <x v="9"/>
    <n v="25"/>
    <s v="South"/>
  </r>
  <r>
    <x v="32"/>
    <x v="0"/>
    <x v="13"/>
    <n v="10"/>
    <s v="North"/>
  </r>
  <r>
    <x v="33"/>
    <x v="1"/>
    <x v="14"/>
    <n v="15"/>
    <s v="North"/>
  </r>
  <r>
    <x v="34"/>
    <x v="2"/>
    <x v="16"/>
    <n v="20"/>
    <s v="North"/>
  </r>
  <r>
    <x v="35"/>
    <x v="3"/>
    <x v="7"/>
    <n v="25"/>
    <s v="North"/>
  </r>
  <r>
    <x v="36"/>
    <x v="0"/>
    <x v="3"/>
    <n v="10"/>
    <s v="South"/>
  </r>
  <r>
    <x v="37"/>
    <x v="1"/>
    <x v="1"/>
    <n v="15"/>
    <s v="South"/>
  </r>
  <r>
    <x v="38"/>
    <x v="2"/>
    <x v="8"/>
    <n v="20"/>
    <s v="South"/>
  </r>
  <r>
    <x v="39"/>
    <x v="3"/>
    <x v="13"/>
    <n v="25"/>
    <s v="South"/>
  </r>
  <r>
    <x v="40"/>
    <x v="0"/>
    <x v="1"/>
    <n v="10"/>
    <s v="North"/>
  </r>
  <r>
    <x v="41"/>
    <x v="1"/>
    <x v="2"/>
    <n v="15"/>
    <s v="North"/>
  </r>
  <r>
    <x v="42"/>
    <x v="2"/>
    <x v="17"/>
    <n v="20"/>
    <s v="North"/>
  </r>
  <r>
    <x v="43"/>
    <x v="3"/>
    <x v="11"/>
    <n v="25"/>
    <s v="North"/>
  </r>
  <r>
    <x v="44"/>
    <x v="0"/>
    <x v="9"/>
    <n v="10"/>
    <s v="South"/>
  </r>
  <r>
    <x v="45"/>
    <x v="1"/>
    <x v="7"/>
    <n v="15"/>
    <s v="South"/>
  </r>
  <r>
    <x v="46"/>
    <x v="2"/>
    <x v="12"/>
    <n v="20"/>
    <s v="South"/>
  </r>
  <r>
    <x v="47"/>
    <x v="3"/>
    <x v="1"/>
    <n v="25"/>
    <s v="South"/>
  </r>
  <r>
    <x v="48"/>
    <x v="0"/>
    <x v="7"/>
    <n v="10"/>
    <s v="North"/>
  </r>
  <r>
    <x v="49"/>
    <x v="1"/>
    <x v="8"/>
    <n v="15"/>
    <s v="North"/>
  </r>
  <r>
    <x v="50"/>
    <x v="2"/>
    <x v="18"/>
    <n v="20"/>
    <s v="North"/>
  </r>
  <r>
    <x v="51"/>
    <x v="3"/>
    <x v="10"/>
    <n v="25"/>
    <s v="North"/>
  </r>
  <r>
    <x v="52"/>
    <x v="0"/>
    <x v="13"/>
    <n v="10"/>
    <s v="South"/>
  </r>
  <r>
    <x v="53"/>
    <x v="1"/>
    <x v="11"/>
    <n v="15"/>
    <s v="South"/>
  </r>
  <r>
    <x v="54"/>
    <x v="2"/>
    <x v="15"/>
    <n v="20"/>
    <s v="South"/>
  </r>
  <r>
    <x v="55"/>
    <x v="3"/>
    <x v="7"/>
    <n v="25"/>
    <s v="South"/>
  </r>
  <r>
    <x v="56"/>
    <x v="0"/>
    <x v="11"/>
    <n v="10"/>
    <s v="North"/>
  </r>
  <r>
    <x v="57"/>
    <x v="1"/>
    <x v="12"/>
    <n v="15"/>
    <s v="North"/>
  </r>
  <r>
    <x v="58"/>
    <x v="2"/>
    <x v="19"/>
    <n v="20"/>
    <s v="North"/>
  </r>
  <r>
    <x v="59"/>
    <x v="3"/>
    <x v="14"/>
    <n v="25"/>
    <s v="North"/>
  </r>
  <r>
    <x v="60"/>
    <x v="0"/>
    <x v="1"/>
    <n v="10"/>
    <s v="South"/>
  </r>
  <r>
    <x v="61"/>
    <x v="1"/>
    <x v="10"/>
    <n v="15"/>
    <s v="South"/>
  </r>
  <r>
    <x v="62"/>
    <x v="2"/>
    <x v="16"/>
    <n v="20"/>
    <s v="South"/>
  </r>
  <r>
    <x v="63"/>
    <x v="3"/>
    <x v="11"/>
    <n v="25"/>
    <s v="South"/>
  </r>
  <r>
    <x v="64"/>
    <x v="0"/>
    <x v="10"/>
    <n v="10"/>
    <s v="North"/>
  </r>
  <r>
    <x v="65"/>
    <x v="1"/>
    <x v="15"/>
    <n v="15"/>
    <s v="North"/>
  </r>
  <r>
    <x v="66"/>
    <x v="2"/>
    <x v="20"/>
    <n v="20"/>
    <s v="North"/>
  </r>
  <r>
    <x v="67"/>
    <x v="3"/>
    <x v="2"/>
    <n v="25"/>
    <s v="North"/>
  </r>
  <r>
    <x v="68"/>
    <x v="0"/>
    <x v="7"/>
    <n v="10"/>
    <s v="South"/>
  </r>
  <r>
    <x v="69"/>
    <x v="1"/>
    <x v="14"/>
    <n v="15"/>
    <s v="South"/>
  </r>
  <r>
    <x v="70"/>
    <x v="2"/>
    <x v="17"/>
    <n v="20"/>
    <s v="South"/>
  </r>
  <r>
    <x v="71"/>
    <x v="3"/>
    <x v="10"/>
    <n v="25"/>
    <s v="Sout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d v="2024-01-01T00:00:00"/>
    <x v="0"/>
    <x v="0"/>
    <n v="100"/>
    <n v="10"/>
    <x v="0"/>
    <n v="1000"/>
  </r>
  <r>
    <d v="2024-02-01T00:00:00"/>
    <x v="1"/>
    <x v="1"/>
    <n v="150"/>
    <n v="15"/>
    <x v="0"/>
    <n v="2250"/>
  </r>
  <r>
    <d v="2024-03-01T00:00:00"/>
    <x v="2"/>
    <x v="2"/>
    <n v="200"/>
    <n v="20"/>
    <x v="0"/>
    <n v="4000"/>
  </r>
  <r>
    <d v="2024-04-01T00:00:00"/>
    <x v="3"/>
    <x v="3"/>
    <n v="120"/>
    <n v="25"/>
    <x v="0"/>
    <n v="3000"/>
  </r>
  <r>
    <d v="2024-05-01T00:00:00"/>
    <x v="4"/>
    <x v="0"/>
    <n v="80"/>
    <n v="10"/>
    <x v="1"/>
    <n v="800"/>
  </r>
  <r>
    <d v="2024-06-01T00:00:00"/>
    <x v="5"/>
    <x v="1"/>
    <n v="100"/>
    <n v="15"/>
    <x v="1"/>
    <n v="1500"/>
  </r>
  <r>
    <d v="2024-07-01T00:00:00"/>
    <x v="6"/>
    <x v="2"/>
    <n v="150"/>
    <n v="20"/>
    <x v="1"/>
    <n v="3000"/>
  </r>
  <r>
    <d v="2024-08-01T00:00:00"/>
    <x v="7"/>
    <x v="3"/>
    <n v="90"/>
    <n v="25"/>
    <x v="1"/>
    <n v="2250"/>
  </r>
  <r>
    <d v="2024-09-01T00:00:00"/>
    <x v="8"/>
    <x v="0"/>
    <n v="110"/>
    <n v="10"/>
    <x v="0"/>
    <n v="1100"/>
  </r>
  <r>
    <d v="2024-10-01T00:00:00"/>
    <x v="9"/>
    <x v="1"/>
    <n v="160"/>
    <n v="15"/>
    <x v="0"/>
    <n v="2400"/>
  </r>
  <r>
    <d v="2024-11-01T00:00:00"/>
    <x v="10"/>
    <x v="2"/>
    <n v="210"/>
    <n v="20"/>
    <x v="0"/>
    <n v="4200"/>
  </r>
  <r>
    <d v="2024-12-01T00:00:00"/>
    <x v="11"/>
    <x v="3"/>
    <n v="130"/>
    <n v="25"/>
    <x v="0"/>
    <n v="3250"/>
  </r>
  <r>
    <s v="13-01-2024"/>
    <x v="0"/>
    <x v="0"/>
    <n v="90"/>
    <n v="10"/>
    <x v="1"/>
    <n v="900"/>
  </r>
  <r>
    <s v="14-01-2024"/>
    <x v="0"/>
    <x v="1"/>
    <n v="120"/>
    <n v="15"/>
    <x v="1"/>
    <n v="1800"/>
  </r>
  <r>
    <s v="15-01-2024"/>
    <x v="0"/>
    <x v="2"/>
    <n v="180"/>
    <n v="20"/>
    <x v="1"/>
    <n v="3600"/>
  </r>
  <r>
    <s v="16-01-2024"/>
    <x v="0"/>
    <x v="3"/>
    <n v="110"/>
    <n v="25"/>
    <x v="1"/>
    <n v="2750"/>
  </r>
  <r>
    <s v="17-01-2024"/>
    <x v="0"/>
    <x v="0"/>
    <n v="120"/>
    <n v="10"/>
    <x v="0"/>
    <n v="1200"/>
  </r>
  <r>
    <s v="18-01-2024"/>
    <x v="0"/>
    <x v="1"/>
    <n v="170"/>
    <n v="15"/>
    <x v="0"/>
    <n v="2550"/>
  </r>
  <r>
    <s v="19-01-2024"/>
    <x v="0"/>
    <x v="2"/>
    <n v="220"/>
    <n v="20"/>
    <x v="0"/>
    <n v="4400"/>
  </r>
  <r>
    <s v="20-01-2024"/>
    <x v="0"/>
    <x v="3"/>
    <n v="140"/>
    <n v="25"/>
    <x v="0"/>
    <n v="3500"/>
  </r>
  <r>
    <s v="21-01-2024"/>
    <x v="0"/>
    <x v="0"/>
    <n v="100"/>
    <n v="10"/>
    <x v="1"/>
    <n v="1000"/>
  </r>
  <r>
    <s v="22-01-2024"/>
    <x v="0"/>
    <x v="1"/>
    <n v="130"/>
    <n v="15"/>
    <x v="1"/>
    <n v="1950"/>
  </r>
  <r>
    <s v="23-01-2024"/>
    <x v="0"/>
    <x v="2"/>
    <n v="190"/>
    <n v="20"/>
    <x v="1"/>
    <n v="3800"/>
  </r>
  <r>
    <s v="24-01-2024"/>
    <x v="0"/>
    <x v="3"/>
    <n v="120"/>
    <n v="25"/>
    <x v="1"/>
    <n v="3000"/>
  </r>
  <r>
    <s v="25-01-2024"/>
    <x v="0"/>
    <x v="0"/>
    <n v="130"/>
    <n v="10"/>
    <x v="0"/>
    <n v="1300"/>
  </r>
  <r>
    <s v="26-01-2024"/>
    <x v="0"/>
    <x v="1"/>
    <n v="180"/>
    <n v="15"/>
    <x v="0"/>
    <n v="2700"/>
  </r>
  <r>
    <s v="27-01-2024"/>
    <x v="0"/>
    <x v="2"/>
    <n v="230"/>
    <n v="20"/>
    <x v="0"/>
    <n v="4600"/>
  </r>
  <r>
    <s v="28-01-2024"/>
    <x v="0"/>
    <x v="3"/>
    <n v="150"/>
    <n v="25"/>
    <x v="0"/>
    <n v="3750"/>
  </r>
  <r>
    <s v="29-01-2024"/>
    <x v="0"/>
    <x v="0"/>
    <n v="110"/>
    <n v="10"/>
    <x v="1"/>
    <n v="1100"/>
  </r>
  <r>
    <s v="30-01-2024"/>
    <x v="0"/>
    <x v="1"/>
    <n v="140"/>
    <n v="15"/>
    <x v="1"/>
    <n v="2100"/>
  </r>
  <r>
    <s v="31-01-2024"/>
    <x v="0"/>
    <x v="2"/>
    <n v="200"/>
    <n v="20"/>
    <x v="1"/>
    <n v="4000"/>
  </r>
  <r>
    <d v="2024-01-02T00:00:00"/>
    <x v="0"/>
    <x v="3"/>
    <n v="130"/>
    <n v="25"/>
    <x v="1"/>
    <n v="3250"/>
  </r>
  <r>
    <d v="2024-02-02T00:00:00"/>
    <x v="1"/>
    <x v="0"/>
    <n v="140"/>
    <n v="10"/>
    <x v="0"/>
    <n v="1400"/>
  </r>
  <r>
    <d v="2024-03-02T00:00:00"/>
    <x v="2"/>
    <x v="1"/>
    <n v="190"/>
    <n v="15"/>
    <x v="0"/>
    <n v="2850"/>
  </r>
  <r>
    <d v="2024-04-02T00:00:00"/>
    <x v="3"/>
    <x v="2"/>
    <n v="240"/>
    <n v="20"/>
    <x v="0"/>
    <n v="4800"/>
  </r>
  <r>
    <d v="2024-05-02T00:00:00"/>
    <x v="4"/>
    <x v="3"/>
    <n v="160"/>
    <n v="25"/>
    <x v="0"/>
    <n v="4000"/>
  </r>
  <r>
    <d v="2024-06-02T00:00:00"/>
    <x v="5"/>
    <x v="0"/>
    <n v="120"/>
    <n v="10"/>
    <x v="1"/>
    <n v="1200"/>
  </r>
  <r>
    <d v="2024-07-02T00:00:00"/>
    <x v="6"/>
    <x v="1"/>
    <n v="150"/>
    <n v="15"/>
    <x v="1"/>
    <n v="2250"/>
  </r>
  <r>
    <d v="2024-08-02T00:00:00"/>
    <x v="7"/>
    <x v="2"/>
    <n v="210"/>
    <n v="20"/>
    <x v="1"/>
    <n v="4200"/>
  </r>
  <r>
    <d v="2024-09-02T00:00:00"/>
    <x v="8"/>
    <x v="3"/>
    <n v="140"/>
    <n v="25"/>
    <x v="1"/>
    <n v="3500"/>
  </r>
  <r>
    <d v="2024-10-02T00:00:00"/>
    <x v="9"/>
    <x v="0"/>
    <n v="150"/>
    <n v="10"/>
    <x v="0"/>
    <n v="1500"/>
  </r>
  <r>
    <d v="2024-11-02T00:00:00"/>
    <x v="10"/>
    <x v="1"/>
    <n v="200"/>
    <n v="15"/>
    <x v="0"/>
    <n v="3000"/>
  </r>
  <r>
    <d v="2024-12-02T00:00:00"/>
    <x v="11"/>
    <x v="2"/>
    <n v="250"/>
    <n v="20"/>
    <x v="0"/>
    <n v="5000"/>
  </r>
  <r>
    <s v="13-02-2024"/>
    <x v="1"/>
    <x v="3"/>
    <n v="170"/>
    <n v="25"/>
    <x v="0"/>
    <n v="4250"/>
  </r>
  <r>
    <s v="14-02-2024"/>
    <x v="1"/>
    <x v="0"/>
    <n v="130"/>
    <n v="10"/>
    <x v="1"/>
    <n v="1300"/>
  </r>
  <r>
    <s v="15-02-2024"/>
    <x v="1"/>
    <x v="1"/>
    <n v="160"/>
    <n v="15"/>
    <x v="1"/>
    <n v="2400"/>
  </r>
  <r>
    <s v="16-02-2024"/>
    <x v="1"/>
    <x v="2"/>
    <n v="220"/>
    <n v="20"/>
    <x v="1"/>
    <n v="4400"/>
  </r>
  <r>
    <s v="17-02-2024"/>
    <x v="1"/>
    <x v="3"/>
    <n v="150"/>
    <n v="25"/>
    <x v="1"/>
    <n v="3750"/>
  </r>
  <r>
    <s v="18-02-2024"/>
    <x v="1"/>
    <x v="0"/>
    <n v="160"/>
    <n v="10"/>
    <x v="0"/>
    <n v="1600"/>
  </r>
  <r>
    <s v="19-02-2024"/>
    <x v="1"/>
    <x v="1"/>
    <n v="210"/>
    <n v="15"/>
    <x v="0"/>
    <n v="3150"/>
  </r>
  <r>
    <s v="20-02-2024"/>
    <x v="1"/>
    <x v="2"/>
    <n v="260"/>
    <n v="20"/>
    <x v="0"/>
    <n v="5200"/>
  </r>
  <r>
    <s v="21-02-2024"/>
    <x v="1"/>
    <x v="3"/>
    <n v="180"/>
    <n v="25"/>
    <x v="0"/>
    <n v="4500"/>
  </r>
  <r>
    <s v="22-02-2024"/>
    <x v="1"/>
    <x v="0"/>
    <n v="140"/>
    <n v="10"/>
    <x v="1"/>
    <n v="1400"/>
  </r>
  <r>
    <s v="23-02-2024"/>
    <x v="1"/>
    <x v="1"/>
    <n v="170"/>
    <n v="15"/>
    <x v="1"/>
    <n v="2550"/>
  </r>
  <r>
    <s v="24-02-2024"/>
    <x v="1"/>
    <x v="2"/>
    <n v="230"/>
    <n v="20"/>
    <x v="1"/>
    <n v="4600"/>
  </r>
  <r>
    <s v="25-02-2024"/>
    <x v="1"/>
    <x v="3"/>
    <n v="160"/>
    <n v="25"/>
    <x v="1"/>
    <n v="4000"/>
  </r>
  <r>
    <s v="26-02-2024"/>
    <x v="1"/>
    <x v="0"/>
    <n v="170"/>
    <n v="10"/>
    <x v="0"/>
    <n v="1700"/>
  </r>
  <r>
    <s v="27-02-2024"/>
    <x v="1"/>
    <x v="1"/>
    <n v="220"/>
    <n v="15"/>
    <x v="0"/>
    <n v="3300"/>
  </r>
  <r>
    <s v="28-02-2024"/>
    <x v="1"/>
    <x v="2"/>
    <n v="270"/>
    <n v="20"/>
    <x v="0"/>
    <n v="5400"/>
  </r>
  <r>
    <s v="29-02-2024"/>
    <x v="1"/>
    <x v="3"/>
    <n v="190"/>
    <n v="25"/>
    <x v="0"/>
    <n v="4750"/>
  </r>
  <r>
    <d v="2024-01-03T00:00:00"/>
    <x v="0"/>
    <x v="0"/>
    <n v="150"/>
    <n v="10"/>
    <x v="1"/>
    <n v="1500"/>
  </r>
  <r>
    <d v="2024-02-03T00:00:00"/>
    <x v="1"/>
    <x v="1"/>
    <n v="180"/>
    <n v="15"/>
    <x v="1"/>
    <n v="2700"/>
  </r>
  <r>
    <d v="2024-03-03T00:00:00"/>
    <x v="2"/>
    <x v="2"/>
    <n v="240"/>
    <n v="20"/>
    <x v="1"/>
    <n v="4800"/>
  </r>
  <r>
    <d v="2024-04-03T00:00:00"/>
    <x v="3"/>
    <x v="3"/>
    <n v="170"/>
    <n v="25"/>
    <x v="1"/>
    <n v="4250"/>
  </r>
  <r>
    <d v="2024-05-03T00:00:00"/>
    <x v="4"/>
    <x v="0"/>
    <n v="180"/>
    <n v="10"/>
    <x v="0"/>
    <n v="1800"/>
  </r>
  <r>
    <d v="2024-06-03T00:00:00"/>
    <x v="5"/>
    <x v="1"/>
    <n v="230"/>
    <n v="15"/>
    <x v="0"/>
    <n v="3450"/>
  </r>
  <r>
    <d v="2024-07-03T00:00:00"/>
    <x v="6"/>
    <x v="2"/>
    <n v="280"/>
    <n v="20"/>
    <x v="0"/>
    <n v="5600"/>
  </r>
  <r>
    <d v="2024-08-03T00:00:00"/>
    <x v="7"/>
    <x v="3"/>
    <n v="200"/>
    <n v="25"/>
    <x v="0"/>
    <n v="5000"/>
  </r>
  <r>
    <d v="2024-09-03T00:00:00"/>
    <x v="8"/>
    <x v="0"/>
    <n v="160"/>
    <n v="10"/>
    <x v="1"/>
    <n v="1600"/>
  </r>
  <r>
    <d v="2024-10-03T00:00:00"/>
    <x v="9"/>
    <x v="1"/>
    <n v="190"/>
    <n v="15"/>
    <x v="1"/>
    <n v="2850"/>
  </r>
  <r>
    <d v="2024-11-03T00:00:00"/>
    <x v="10"/>
    <x v="2"/>
    <n v="250"/>
    <n v="20"/>
    <x v="1"/>
    <n v="5000"/>
  </r>
  <r>
    <d v="2024-12-03T00:00:00"/>
    <x v="11"/>
    <x v="3"/>
    <n v="180"/>
    <n v="25"/>
    <x v="1"/>
    <n v="45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d v="2024-01-01T00:00:00"/>
    <s v="January"/>
    <x v="0"/>
    <n v="100"/>
    <n v="10"/>
    <s v="North"/>
    <n v="1000"/>
  </r>
  <r>
    <d v="2024-02-01T00:00:00"/>
    <s v="February"/>
    <x v="1"/>
    <n v="150"/>
    <n v="15"/>
    <s v="North"/>
    <n v="2250"/>
  </r>
  <r>
    <d v="2024-03-01T00:00:00"/>
    <s v="March"/>
    <x v="2"/>
    <n v="200"/>
    <n v="20"/>
    <s v="North"/>
    <n v="4000"/>
  </r>
  <r>
    <d v="2024-04-01T00:00:00"/>
    <s v="April"/>
    <x v="3"/>
    <n v="120"/>
    <n v="25"/>
    <s v="North"/>
    <n v="3000"/>
  </r>
  <r>
    <d v="2024-05-01T00:00:00"/>
    <s v="May"/>
    <x v="0"/>
    <n v="80"/>
    <n v="10"/>
    <s v="South"/>
    <n v="800"/>
  </r>
  <r>
    <d v="2024-06-01T00:00:00"/>
    <s v="June"/>
    <x v="1"/>
    <n v="100"/>
    <n v="15"/>
    <s v="South"/>
    <n v="1500"/>
  </r>
  <r>
    <d v="2024-07-01T00:00:00"/>
    <s v="July"/>
    <x v="2"/>
    <n v="150"/>
    <n v="20"/>
    <s v="South"/>
    <n v="3000"/>
  </r>
  <r>
    <d v="2024-08-01T00:00:00"/>
    <s v="August"/>
    <x v="3"/>
    <n v="90"/>
    <n v="25"/>
    <s v="South"/>
    <n v="2250"/>
  </r>
  <r>
    <d v="2024-09-01T00:00:00"/>
    <s v="September"/>
    <x v="0"/>
    <n v="110"/>
    <n v="10"/>
    <s v="North"/>
    <n v="1100"/>
  </r>
  <r>
    <d v="2024-10-01T00:00:00"/>
    <s v="October"/>
    <x v="1"/>
    <n v="160"/>
    <n v="15"/>
    <s v="North"/>
    <n v="2400"/>
  </r>
  <r>
    <d v="2024-11-01T00:00:00"/>
    <s v="November"/>
    <x v="2"/>
    <n v="210"/>
    <n v="20"/>
    <s v="North"/>
    <n v="4200"/>
  </r>
  <r>
    <d v="2024-12-01T00:00:00"/>
    <s v="December"/>
    <x v="3"/>
    <n v="130"/>
    <n v="25"/>
    <s v="North"/>
    <n v="3250"/>
  </r>
  <r>
    <s v="13-01-2024"/>
    <s v="January"/>
    <x v="0"/>
    <n v="90"/>
    <n v="10"/>
    <s v="South"/>
    <n v="900"/>
  </r>
  <r>
    <s v="14-01-2024"/>
    <s v="January"/>
    <x v="1"/>
    <n v="120"/>
    <n v="15"/>
    <s v="South"/>
    <n v="1800"/>
  </r>
  <r>
    <s v="15-01-2024"/>
    <s v="January"/>
    <x v="2"/>
    <n v="180"/>
    <n v="20"/>
    <s v="South"/>
    <n v="3600"/>
  </r>
  <r>
    <s v="16-01-2024"/>
    <s v="January"/>
    <x v="3"/>
    <n v="110"/>
    <n v="25"/>
    <s v="South"/>
    <n v="2750"/>
  </r>
  <r>
    <s v="17-01-2024"/>
    <s v="January"/>
    <x v="0"/>
    <n v="120"/>
    <n v="10"/>
    <s v="North"/>
    <n v="1200"/>
  </r>
  <r>
    <s v="18-01-2024"/>
    <s v="January"/>
    <x v="1"/>
    <n v="170"/>
    <n v="15"/>
    <s v="North"/>
    <n v="2550"/>
  </r>
  <r>
    <s v="19-01-2024"/>
    <s v="January"/>
    <x v="2"/>
    <n v="220"/>
    <n v="20"/>
    <s v="North"/>
    <n v="4400"/>
  </r>
  <r>
    <s v="20-01-2024"/>
    <s v="January"/>
    <x v="3"/>
    <n v="140"/>
    <n v="25"/>
    <s v="North"/>
    <n v="3500"/>
  </r>
  <r>
    <s v="21-01-2024"/>
    <s v="January"/>
    <x v="0"/>
    <n v="100"/>
    <n v="10"/>
    <s v="South"/>
    <n v="1000"/>
  </r>
  <r>
    <s v="22-01-2024"/>
    <s v="January"/>
    <x v="1"/>
    <n v="130"/>
    <n v="15"/>
    <s v="South"/>
    <n v="1950"/>
  </r>
  <r>
    <s v="23-01-2024"/>
    <s v="January"/>
    <x v="2"/>
    <n v="190"/>
    <n v="20"/>
    <s v="South"/>
    <n v="3800"/>
  </r>
  <r>
    <s v="24-01-2024"/>
    <s v="January"/>
    <x v="3"/>
    <n v="120"/>
    <n v="25"/>
    <s v="South"/>
    <n v="3000"/>
  </r>
  <r>
    <s v="25-01-2024"/>
    <s v="January"/>
    <x v="0"/>
    <n v="130"/>
    <n v="10"/>
    <s v="North"/>
    <n v="1300"/>
  </r>
  <r>
    <s v="26-01-2024"/>
    <s v="January"/>
    <x v="1"/>
    <n v="180"/>
    <n v="15"/>
    <s v="North"/>
    <n v="2700"/>
  </r>
  <r>
    <s v="27-01-2024"/>
    <s v="January"/>
    <x v="2"/>
    <n v="230"/>
    <n v="20"/>
    <s v="North"/>
    <n v="4600"/>
  </r>
  <r>
    <s v="28-01-2024"/>
    <s v="January"/>
    <x v="3"/>
    <n v="150"/>
    <n v="25"/>
    <s v="North"/>
    <n v="3750"/>
  </r>
  <r>
    <s v="29-01-2024"/>
    <s v="January"/>
    <x v="0"/>
    <n v="110"/>
    <n v="10"/>
    <s v="South"/>
    <n v="1100"/>
  </r>
  <r>
    <s v="30-01-2024"/>
    <s v="January"/>
    <x v="1"/>
    <n v="140"/>
    <n v="15"/>
    <s v="South"/>
    <n v="2100"/>
  </r>
  <r>
    <s v="31-01-2024"/>
    <s v="January"/>
    <x v="2"/>
    <n v="200"/>
    <n v="20"/>
    <s v="South"/>
    <n v="4000"/>
  </r>
  <r>
    <d v="2024-01-02T00:00:00"/>
    <s v="January"/>
    <x v="3"/>
    <n v="130"/>
    <n v="25"/>
    <s v="South"/>
    <n v="3250"/>
  </r>
  <r>
    <d v="2024-02-02T00:00:00"/>
    <s v="February"/>
    <x v="0"/>
    <n v="140"/>
    <n v="10"/>
    <s v="North"/>
    <n v="1400"/>
  </r>
  <r>
    <d v="2024-03-02T00:00:00"/>
    <s v="March"/>
    <x v="1"/>
    <n v="190"/>
    <n v="15"/>
    <s v="North"/>
    <n v="2850"/>
  </r>
  <r>
    <d v="2024-04-02T00:00:00"/>
    <s v="April"/>
    <x v="2"/>
    <n v="240"/>
    <n v="20"/>
    <s v="North"/>
    <n v="4800"/>
  </r>
  <r>
    <d v="2024-05-02T00:00:00"/>
    <s v="May"/>
    <x v="3"/>
    <n v="160"/>
    <n v="25"/>
    <s v="North"/>
    <n v="4000"/>
  </r>
  <r>
    <d v="2024-06-02T00:00:00"/>
    <s v="June"/>
    <x v="0"/>
    <n v="120"/>
    <n v="10"/>
    <s v="South"/>
    <n v="1200"/>
  </r>
  <r>
    <d v="2024-07-02T00:00:00"/>
    <s v="July"/>
    <x v="1"/>
    <n v="150"/>
    <n v="15"/>
    <s v="South"/>
    <n v="2250"/>
  </r>
  <r>
    <d v="2024-08-02T00:00:00"/>
    <s v="August"/>
    <x v="2"/>
    <n v="210"/>
    <n v="20"/>
    <s v="South"/>
    <n v="4200"/>
  </r>
  <r>
    <d v="2024-09-02T00:00:00"/>
    <s v="September"/>
    <x v="3"/>
    <n v="140"/>
    <n v="25"/>
    <s v="South"/>
    <n v="3500"/>
  </r>
  <r>
    <d v="2024-10-02T00:00:00"/>
    <s v="October"/>
    <x v="0"/>
    <n v="150"/>
    <n v="10"/>
    <s v="North"/>
    <n v="1500"/>
  </r>
  <r>
    <d v="2024-11-02T00:00:00"/>
    <s v="November"/>
    <x v="1"/>
    <n v="200"/>
    <n v="15"/>
    <s v="North"/>
    <n v="3000"/>
  </r>
  <r>
    <d v="2024-12-02T00:00:00"/>
    <s v="December"/>
    <x v="2"/>
    <n v="250"/>
    <n v="20"/>
    <s v="North"/>
    <n v="5000"/>
  </r>
  <r>
    <s v="13-02-2024"/>
    <s v="February"/>
    <x v="3"/>
    <n v="170"/>
    <n v="25"/>
    <s v="North"/>
    <n v="4250"/>
  </r>
  <r>
    <s v="14-02-2024"/>
    <s v="February"/>
    <x v="0"/>
    <n v="130"/>
    <n v="10"/>
    <s v="South"/>
    <n v="1300"/>
  </r>
  <r>
    <s v="15-02-2024"/>
    <s v="February"/>
    <x v="1"/>
    <n v="160"/>
    <n v="15"/>
    <s v="South"/>
    <n v="2400"/>
  </r>
  <r>
    <s v="16-02-2024"/>
    <s v="February"/>
    <x v="2"/>
    <n v="220"/>
    <n v="20"/>
    <s v="South"/>
    <n v="4400"/>
  </r>
  <r>
    <s v="17-02-2024"/>
    <s v="February"/>
    <x v="3"/>
    <n v="150"/>
    <n v="25"/>
    <s v="South"/>
    <n v="3750"/>
  </r>
  <r>
    <s v="18-02-2024"/>
    <s v="February"/>
    <x v="0"/>
    <n v="160"/>
    <n v="10"/>
    <s v="North"/>
    <n v="1600"/>
  </r>
  <r>
    <s v="19-02-2024"/>
    <s v="February"/>
    <x v="1"/>
    <n v="210"/>
    <n v="15"/>
    <s v="North"/>
    <n v="3150"/>
  </r>
  <r>
    <s v="20-02-2024"/>
    <s v="February"/>
    <x v="2"/>
    <n v="260"/>
    <n v="20"/>
    <s v="North"/>
    <n v="5200"/>
  </r>
  <r>
    <s v="21-02-2024"/>
    <s v="February"/>
    <x v="3"/>
    <n v="180"/>
    <n v="25"/>
    <s v="North"/>
    <n v="4500"/>
  </r>
  <r>
    <s v="22-02-2024"/>
    <s v="February"/>
    <x v="0"/>
    <n v="140"/>
    <n v="10"/>
    <s v="South"/>
    <n v="1400"/>
  </r>
  <r>
    <s v="23-02-2024"/>
    <s v="February"/>
    <x v="1"/>
    <n v="170"/>
    <n v="15"/>
    <s v="South"/>
    <n v="2550"/>
  </r>
  <r>
    <s v="24-02-2024"/>
    <s v="February"/>
    <x v="2"/>
    <n v="230"/>
    <n v="20"/>
    <s v="South"/>
    <n v="4600"/>
  </r>
  <r>
    <s v="25-02-2024"/>
    <s v="February"/>
    <x v="3"/>
    <n v="160"/>
    <n v="25"/>
    <s v="South"/>
    <n v="4000"/>
  </r>
  <r>
    <s v="26-02-2024"/>
    <s v="February"/>
    <x v="0"/>
    <n v="170"/>
    <n v="10"/>
    <s v="North"/>
    <n v="1700"/>
  </r>
  <r>
    <s v="27-02-2024"/>
    <s v="February"/>
    <x v="1"/>
    <n v="220"/>
    <n v="15"/>
    <s v="North"/>
    <n v="3300"/>
  </r>
  <r>
    <s v="28-02-2024"/>
    <s v="February"/>
    <x v="2"/>
    <n v="270"/>
    <n v="20"/>
    <s v="North"/>
    <n v="5400"/>
  </r>
  <r>
    <s v="29-02-2024"/>
    <s v="February"/>
    <x v="3"/>
    <n v="190"/>
    <n v="25"/>
    <s v="North"/>
    <n v="4750"/>
  </r>
  <r>
    <d v="2024-01-03T00:00:00"/>
    <s v="January"/>
    <x v="0"/>
    <n v="150"/>
    <n v="10"/>
    <s v="South"/>
    <n v="1500"/>
  </r>
  <r>
    <d v="2024-02-03T00:00:00"/>
    <s v="February"/>
    <x v="1"/>
    <n v="180"/>
    <n v="15"/>
    <s v="South"/>
    <n v="2700"/>
  </r>
  <r>
    <d v="2024-03-03T00:00:00"/>
    <s v="March"/>
    <x v="2"/>
    <n v="240"/>
    <n v="20"/>
    <s v="South"/>
    <n v="4800"/>
  </r>
  <r>
    <d v="2024-04-03T00:00:00"/>
    <s v="April"/>
    <x v="3"/>
    <n v="170"/>
    <n v="25"/>
    <s v="South"/>
    <n v="4250"/>
  </r>
  <r>
    <d v="2024-05-03T00:00:00"/>
    <s v="May"/>
    <x v="0"/>
    <n v="180"/>
    <n v="10"/>
    <s v="North"/>
    <n v="1800"/>
  </r>
  <r>
    <d v="2024-06-03T00:00:00"/>
    <s v="June"/>
    <x v="1"/>
    <n v="230"/>
    <n v="15"/>
    <s v="North"/>
    <n v="3450"/>
  </r>
  <r>
    <d v="2024-07-03T00:00:00"/>
    <s v="July"/>
    <x v="2"/>
    <n v="280"/>
    <n v="20"/>
    <s v="North"/>
    <n v="5600"/>
  </r>
  <r>
    <d v="2024-08-03T00:00:00"/>
    <s v="August"/>
    <x v="3"/>
    <n v="200"/>
    <n v="25"/>
    <s v="North"/>
    <n v="5000"/>
  </r>
  <r>
    <d v="2024-09-03T00:00:00"/>
    <s v="September"/>
    <x v="0"/>
    <n v="160"/>
    <n v="10"/>
    <s v="South"/>
    <n v="1600"/>
  </r>
  <r>
    <d v="2024-10-03T00:00:00"/>
    <s v="October"/>
    <x v="1"/>
    <n v="190"/>
    <n v="15"/>
    <s v="South"/>
    <n v="2850"/>
  </r>
  <r>
    <d v="2024-11-03T00:00:00"/>
    <s v="November"/>
    <x v="2"/>
    <n v="250"/>
    <n v="20"/>
    <s v="South"/>
    <n v="5000"/>
  </r>
  <r>
    <d v="2024-12-03T00:00:00"/>
    <s v="December"/>
    <x v="3"/>
    <n v="180"/>
    <n v="25"/>
    <s v="South"/>
    <n v="45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x v="0"/>
    <x v="0"/>
    <x v="0"/>
    <n v="100"/>
    <x v="0"/>
    <x v="0"/>
    <n v="1000"/>
  </r>
  <r>
    <x v="1"/>
    <x v="1"/>
    <x v="1"/>
    <n v="150"/>
    <x v="1"/>
    <x v="0"/>
    <n v="2250"/>
  </r>
  <r>
    <x v="2"/>
    <x v="2"/>
    <x v="2"/>
    <n v="200"/>
    <x v="2"/>
    <x v="0"/>
    <n v="4000"/>
  </r>
  <r>
    <x v="3"/>
    <x v="3"/>
    <x v="3"/>
    <n v="120"/>
    <x v="3"/>
    <x v="0"/>
    <n v="3000"/>
  </r>
  <r>
    <x v="4"/>
    <x v="4"/>
    <x v="0"/>
    <n v="80"/>
    <x v="0"/>
    <x v="1"/>
    <n v="800"/>
  </r>
  <r>
    <x v="5"/>
    <x v="5"/>
    <x v="1"/>
    <n v="100"/>
    <x v="1"/>
    <x v="1"/>
    <n v="1500"/>
  </r>
  <r>
    <x v="6"/>
    <x v="6"/>
    <x v="2"/>
    <n v="150"/>
    <x v="2"/>
    <x v="1"/>
    <n v="3000"/>
  </r>
  <r>
    <x v="7"/>
    <x v="7"/>
    <x v="3"/>
    <n v="90"/>
    <x v="3"/>
    <x v="1"/>
    <n v="2250"/>
  </r>
  <r>
    <x v="8"/>
    <x v="8"/>
    <x v="0"/>
    <n v="110"/>
    <x v="0"/>
    <x v="0"/>
    <n v="1100"/>
  </r>
  <r>
    <x v="9"/>
    <x v="9"/>
    <x v="1"/>
    <n v="160"/>
    <x v="1"/>
    <x v="0"/>
    <n v="2400"/>
  </r>
  <r>
    <x v="10"/>
    <x v="10"/>
    <x v="2"/>
    <n v="210"/>
    <x v="2"/>
    <x v="0"/>
    <n v="4200"/>
  </r>
  <r>
    <x v="11"/>
    <x v="11"/>
    <x v="3"/>
    <n v="130"/>
    <x v="3"/>
    <x v="0"/>
    <n v="3250"/>
  </r>
  <r>
    <x v="12"/>
    <x v="0"/>
    <x v="0"/>
    <n v="90"/>
    <x v="0"/>
    <x v="1"/>
    <n v="900"/>
  </r>
  <r>
    <x v="13"/>
    <x v="0"/>
    <x v="1"/>
    <n v="120"/>
    <x v="1"/>
    <x v="1"/>
    <n v="1800"/>
  </r>
  <r>
    <x v="14"/>
    <x v="0"/>
    <x v="2"/>
    <n v="180"/>
    <x v="2"/>
    <x v="1"/>
    <n v="3600"/>
  </r>
  <r>
    <x v="15"/>
    <x v="0"/>
    <x v="3"/>
    <n v="110"/>
    <x v="3"/>
    <x v="1"/>
    <n v="2750"/>
  </r>
  <r>
    <x v="16"/>
    <x v="0"/>
    <x v="0"/>
    <n v="120"/>
    <x v="0"/>
    <x v="0"/>
    <n v="1200"/>
  </r>
  <r>
    <x v="17"/>
    <x v="0"/>
    <x v="1"/>
    <n v="170"/>
    <x v="1"/>
    <x v="0"/>
    <n v="2550"/>
  </r>
  <r>
    <x v="18"/>
    <x v="0"/>
    <x v="2"/>
    <n v="220"/>
    <x v="2"/>
    <x v="0"/>
    <n v="4400"/>
  </r>
  <r>
    <x v="19"/>
    <x v="0"/>
    <x v="3"/>
    <n v="140"/>
    <x v="3"/>
    <x v="0"/>
    <n v="3500"/>
  </r>
  <r>
    <x v="20"/>
    <x v="0"/>
    <x v="0"/>
    <n v="100"/>
    <x v="0"/>
    <x v="1"/>
    <n v="1000"/>
  </r>
  <r>
    <x v="21"/>
    <x v="0"/>
    <x v="1"/>
    <n v="130"/>
    <x v="1"/>
    <x v="1"/>
    <n v="1950"/>
  </r>
  <r>
    <x v="22"/>
    <x v="0"/>
    <x v="2"/>
    <n v="190"/>
    <x v="2"/>
    <x v="1"/>
    <n v="3800"/>
  </r>
  <r>
    <x v="23"/>
    <x v="0"/>
    <x v="3"/>
    <n v="120"/>
    <x v="3"/>
    <x v="1"/>
    <n v="3000"/>
  </r>
  <r>
    <x v="24"/>
    <x v="0"/>
    <x v="0"/>
    <n v="130"/>
    <x v="0"/>
    <x v="0"/>
    <n v="1300"/>
  </r>
  <r>
    <x v="25"/>
    <x v="0"/>
    <x v="1"/>
    <n v="180"/>
    <x v="1"/>
    <x v="0"/>
    <n v="2700"/>
  </r>
  <r>
    <x v="26"/>
    <x v="0"/>
    <x v="2"/>
    <n v="230"/>
    <x v="2"/>
    <x v="0"/>
    <n v="4600"/>
  </r>
  <r>
    <x v="27"/>
    <x v="0"/>
    <x v="3"/>
    <n v="150"/>
    <x v="3"/>
    <x v="0"/>
    <n v="3750"/>
  </r>
  <r>
    <x v="28"/>
    <x v="0"/>
    <x v="0"/>
    <n v="110"/>
    <x v="0"/>
    <x v="1"/>
    <n v="1100"/>
  </r>
  <r>
    <x v="29"/>
    <x v="0"/>
    <x v="1"/>
    <n v="140"/>
    <x v="1"/>
    <x v="1"/>
    <n v="2100"/>
  </r>
  <r>
    <x v="30"/>
    <x v="0"/>
    <x v="2"/>
    <n v="200"/>
    <x v="2"/>
    <x v="1"/>
    <n v="4000"/>
  </r>
  <r>
    <x v="31"/>
    <x v="0"/>
    <x v="3"/>
    <n v="130"/>
    <x v="3"/>
    <x v="1"/>
    <n v="3250"/>
  </r>
  <r>
    <x v="32"/>
    <x v="1"/>
    <x v="0"/>
    <n v="140"/>
    <x v="0"/>
    <x v="0"/>
    <n v="1400"/>
  </r>
  <r>
    <x v="33"/>
    <x v="2"/>
    <x v="1"/>
    <n v="190"/>
    <x v="1"/>
    <x v="0"/>
    <n v="2850"/>
  </r>
  <r>
    <x v="34"/>
    <x v="3"/>
    <x v="2"/>
    <n v="240"/>
    <x v="2"/>
    <x v="0"/>
    <n v="4800"/>
  </r>
  <r>
    <x v="35"/>
    <x v="4"/>
    <x v="3"/>
    <n v="160"/>
    <x v="3"/>
    <x v="0"/>
    <n v="4000"/>
  </r>
  <r>
    <x v="36"/>
    <x v="5"/>
    <x v="0"/>
    <n v="120"/>
    <x v="0"/>
    <x v="1"/>
    <n v="1200"/>
  </r>
  <r>
    <x v="37"/>
    <x v="6"/>
    <x v="1"/>
    <n v="150"/>
    <x v="1"/>
    <x v="1"/>
    <n v="2250"/>
  </r>
  <r>
    <x v="38"/>
    <x v="7"/>
    <x v="2"/>
    <n v="210"/>
    <x v="2"/>
    <x v="1"/>
    <n v="4200"/>
  </r>
  <r>
    <x v="39"/>
    <x v="8"/>
    <x v="3"/>
    <n v="140"/>
    <x v="3"/>
    <x v="1"/>
    <n v="3500"/>
  </r>
  <r>
    <x v="40"/>
    <x v="9"/>
    <x v="0"/>
    <n v="150"/>
    <x v="0"/>
    <x v="0"/>
    <n v="1500"/>
  </r>
  <r>
    <x v="41"/>
    <x v="10"/>
    <x v="1"/>
    <n v="200"/>
    <x v="1"/>
    <x v="0"/>
    <n v="3000"/>
  </r>
  <r>
    <x v="42"/>
    <x v="11"/>
    <x v="2"/>
    <n v="250"/>
    <x v="2"/>
    <x v="0"/>
    <n v="5000"/>
  </r>
  <r>
    <x v="43"/>
    <x v="1"/>
    <x v="3"/>
    <n v="170"/>
    <x v="3"/>
    <x v="0"/>
    <n v="4250"/>
  </r>
  <r>
    <x v="44"/>
    <x v="1"/>
    <x v="0"/>
    <n v="130"/>
    <x v="0"/>
    <x v="1"/>
    <n v="1300"/>
  </r>
  <r>
    <x v="45"/>
    <x v="1"/>
    <x v="1"/>
    <n v="160"/>
    <x v="1"/>
    <x v="1"/>
    <n v="2400"/>
  </r>
  <r>
    <x v="46"/>
    <x v="1"/>
    <x v="2"/>
    <n v="220"/>
    <x v="2"/>
    <x v="1"/>
    <n v="4400"/>
  </r>
  <r>
    <x v="47"/>
    <x v="1"/>
    <x v="3"/>
    <n v="150"/>
    <x v="3"/>
    <x v="1"/>
    <n v="3750"/>
  </r>
  <r>
    <x v="48"/>
    <x v="1"/>
    <x v="0"/>
    <n v="160"/>
    <x v="0"/>
    <x v="0"/>
    <n v="1600"/>
  </r>
  <r>
    <x v="49"/>
    <x v="1"/>
    <x v="1"/>
    <n v="210"/>
    <x v="1"/>
    <x v="0"/>
    <n v="3150"/>
  </r>
  <r>
    <x v="50"/>
    <x v="1"/>
    <x v="2"/>
    <n v="260"/>
    <x v="2"/>
    <x v="0"/>
    <n v="5200"/>
  </r>
  <r>
    <x v="51"/>
    <x v="1"/>
    <x v="3"/>
    <n v="180"/>
    <x v="3"/>
    <x v="0"/>
    <n v="4500"/>
  </r>
  <r>
    <x v="52"/>
    <x v="1"/>
    <x v="0"/>
    <n v="140"/>
    <x v="0"/>
    <x v="1"/>
    <n v="1400"/>
  </r>
  <r>
    <x v="53"/>
    <x v="1"/>
    <x v="1"/>
    <n v="170"/>
    <x v="1"/>
    <x v="1"/>
    <n v="2550"/>
  </r>
  <r>
    <x v="54"/>
    <x v="1"/>
    <x v="2"/>
    <n v="230"/>
    <x v="2"/>
    <x v="1"/>
    <n v="4600"/>
  </r>
  <r>
    <x v="55"/>
    <x v="1"/>
    <x v="3"/>
    <n v="160"/>
    <x v="3"/>
    <x v="1"/>
    <n v="4000"/>
  </r>
  <r>
    <x v="56"/>
    <x v="1"/>
    <x v="0"/>
    <n v="170"/>
    <x v="0"/>
    <x v="0"/>
    <n v="1700"/>
  </r>
  <r>
    <x v="57"/>
    <x v="1"/>
    <x v="1"/>
    <n v="220"/>
    <x v="1"/>
    <x v="0"/>
    <n v="3300"/>
  </r>
  <r>
    <x v="58"/>
    <x v="1"/>
    <x v="2"/>
    <n v="270"/>
    <x v="2"/>
    <x v="0"/>
    <n v="5400"/>
  </r>
  <r>
    <x v="59"/>
    <x v="1"/>
    <x v="3"/>
    <n v="190"/>
    <x v="3"/>
    <x v="0"/>
    <n v="4750"/>
  </r>
  <r>
    <x v="60"/>
    <x v="0"/>
    <x v="0"/>
    <n v="150"/>
    <x v="0"/>
    <x v="1"/>
    <n v="1500"/>
  </r>
  <r>
    <x v="61"/>
    <x v="1"/>
    <x v="1"/>
    <n v="180"/>
    <x v="1"/>
    <x v="1"/>
    <n v="2700"/>
  </r>
  <r>
    <x v="62"/>
    <x v="2"/>
    <x v="2"/>
    <n v="240"/>
    <x v="2"/>
    <x v="1"/>
    <n v="4800"/>
  </r>
  <r>
    <x v="63"/>
    <x v="3"/>
    <x v="3"/>
    <n v="170"/>
    <x v="3"/>
    <x v="1"/>
    <n v="4250"/>
  </r>
  <r>
    <x v="64"/>
    <x v="4"/>
    <x v="0"/>
    <n v="180"/>
    <x v="0"/>
    <x v="0"/>
    <n v="1800"/>
  </r>
  <r>
    <x v="65"/>
    <x v="5"/>
    <x v="1"/>
    <n v="230"/>
    <x v="1"/>
    <x v="0"/>
    <n v="3450"/>
  </r>
  <r>
    <x v="66"/>
    <x v="6"/>
    <x v="2"/>
    <n v="280"/>
    <x v="2"/>
    <x v="0"/>
    <n v="5600"/>
  </r>
  <r>
    <x v="67"/>
    <x v="7"/>
    <x v="3"/>
    <n v="200"/>
    <x v="3"/>
    <x v="0"/>
    <n v="5000"/>
  </r>
  <r>
    <x v="68"/>
    <x v="8"/>
    <x v="0"/>
    <n v="160"/>
    <x v="0"/>
    <x v="1"/>
    <n v="1600"/>
  </r>
  <r>
    <x v="69"/>
    <x v="9"/>
    <x v="1"/>
    <n v="190"/>
    <x v="1"/>
    <x v="1"/>
    <n v="2850"/>
  </r>
  <r>
    <x v="70"/>
    <x v="10"/>
    <x v="2"/>
    <n v="250"/>
    <x v="2"/>
    <x v="1"/>
    <n v="5000"/>
  </r>
  <r>
    <x v="71"/>
    <x v="11"/>
    <x v="3"/>
    <n v="180"/>
    <x v="3"/>
    <x v="1"/>
    <n v="4500"/>
  </r>
  <r>
    <x v="72"/>
    <x v="12"/>
    <x v="4"/>
    <m/>
    <x v="4"/>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86984-7DEE-4C17-8AED-29903FDE86D0}"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3" firstHeaderRow="1" firstDataRow="2" firstDataCol="1"/>
  <pivotFields count="5">
    <pivotField axis="axisRow" showAll="0">
      <items count="73">
        <item x="12"/>
        <item x="43"/>
        <item x="13"/>
        <item x="44"/>
        <item x="14"/>
        <item x="45"/>
        <item x="15"/>
        <item x="46"/>
        <item x="16"/>
        <item x="47"/>
        <item x="17"/>
        <item x="48"/>
        <item x="18"/>
        <item x="49"/>
        <item x="19"/>
        <item x="50"/>
        <item x="20"/>
        <item x="51"/>
        <item x="21"/>
        <item x="52"/>
        <item x="22"/>
        <item x="53"/>
        <item x="23"/>
        <item x="54"/>
        <item x="24"/>
        <item x="55"/>
        <item x="25"/>
        <item x="56"/>
        <item x="26"/>
        <item x="57"/>
        <item x="27"/>
        <item x="58"/>
        <item x="28"/>
        <item x="59"/>
        <item x="29"/>
        <item x="30"/>
        <item x="0"/>
        <item x="31"/>
        <item x="60"/>
        <item x="1"/>
        <item x="32"/>
        <item x="61"/>
        <item x="2"/>
        <item x="33"/>
        <item x="62"/>
        <item x="3"/>
        <item x="34"/>
        <item x="63"/>
        <item x="4"/>
        <item x="35"/>
        <item x="64"/>
        <item x="5"/>
        <item x="36"/>
        <item x="65"/>
        <item x="6"/>
        <item x="37"/>
        <item x="66"/>
        <item x="7"/>
        <item x="38"/>
        <item x="67"/>
        <item x="8"/>
        <item x="39"/>
        <item x="68"/>
        <item x="9"/>
        <item x="40"/>
        <item x="69"/>
        <item x="10"/>
        <item x="41"/>
        <item x="70"/>
        <item x="11"/>
        <item x="42"/>
        <item x="71"/>
        <item t="default"/>
      </items>
    </pivotField>
    <pivotField axis="axisCol" showAll="0">
      <items count="5">
        <item x="0"/>
        <item h="1" x="1"/>
        <item h="1" x="2"/>
        <item h="1" x="3"/>
        <item t="default"/>
      </items>
    </pivotField>
    <pivotField dataField="1" showAll="0">
      <items count="22">
        <item x="4"/>
        <item x="5"/>
        <item x="0"/>
        <item x="6"/>
        <item x="3"/>
        <item x="9"/>
        <item x="13"/>
        <item x="1"/>
        <item x="7"/>
        <item x="11"/>
        <item x="10"/>
        <item x="14"/>
        <item x="2"/>
        <item x="8"/>
        <item x="12"/>
        <item x="15"/>
        <item x="16"/>
        <item x="17"/>
        <item x="18"/>
        <item x="19"/>
        <item x="20"/>
        <item t="default"/>
      </items>
    </pivotField>
    <pivotField showAll="0"/>
    <pivotField showAll="0"/>
  </pivotFields>
  <rowFields count="1">
    <field x="0"/>
  </rowFields>
  <rowItems count="19">
    <i>
      <x/>
    </i>
    <i>
      <x v="3"/>
    </i>
    <i>
      <x v="8"/>
    </i>
    <i>
      <x v="11"/>
    </i>
    <i>
      <x v="16"/>
    </i>
    <i>
      <x v="19"/>
    </i>
    <i>
      <x v="24"/>
    </i>
    <i>
      <x v="27"/>
    </i>
    <i>
      <x v="32"/>
    </i>
    <i>
      <x v="36"/>
    </i>
    <i>
      <x v="38"/>
    </i>
    <i>
      <x v="40"/>
    </i>
    <i>
      <x v="48"/>
    </i>
    <i>
      <x v="50"/>
    </i>
    <i>
      <x v="52"/>
    </i>
    <i>
      <x v="60"/>
    </i>
    <i>
      <x v="62"/>
    </i>
    <i>
      <x v="64"/>
    </i>
    <i t="grand">
      <x/>
    </i>
  </rowItems>
  <colFields count="1">
    <field x="1"/>
  </colFields>
  <colItems count="2">
    <i>
      <x/>
    </i>
    <i t="grand">
      <x/>
    </i>
  </colItems>
  <dataFields count="1">
    <dataField name="Sum of Quantity" fld="2" baseField="0" baseItem="0"/>
  </dataFields>
  <formats count="22">
    <format dxfId="22">
      <pivotArea type="all" dataOnly="0" outline="0" fieldPosition="0"/>
    </format>
    <format dxfId="23">
      <pivotArea outline="0" collapsedLevelsAreSubtotals="1" fieldPosition="0"/>
    </format>
    <format dxfId="24">
      <pivotArea type="origin" dataOnly="0" labelOnly="1" outline="0" fieldPosition="0"/>
    </format>
    <format dxfId="25">
      <pivotArea field="1" type="button" dataOnly="0" labelOnly="1" outline="0" axis="axisCol" fieldPosition="0"/>
    </format>
    <format dxfId="26">
      <pivotArea type="topRight" dataOnly="0" labelOnly="1" outline="0" fieldPosition="0"/>
    </format>
    <format dxfId="27">
      <pivotArea field="0" type="button" dataOnly="0" labelOnly="1" outline="0" axis="axisRow" fieldPosition="0"/>
    </format>
    <format dxfId="2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
      <pivotArea dataOnly="0" labelOnly="1" fieldPosition="0">
        <references count="1">
          <reference field="0" count="22">
            <x v="50"/>
            <x v="51"/>
            <x v="52"/>
            <x v="53"/>
            <x v="54"/>
            <x v="55"/>
            <x v="56"/>
            <x v="57"/>
            <x v="58"/>
            <x v="59"/>
            <x v="60"/>
            <x v="61"/>
            <x v="62"/>
            <x v="63"/>
            <x v="64"/>
            <x v="65"/>
            <x v="66"/>
            <x v="67"/>
            <x v="68"/>
            <x v="69"/>
            <x v="70"/>
            <x v="71"/>
          </reference>
        </references>
      </pivotArea>
    </format>
    <format dxfId="30">
      <pivotArea dataOnly="0" labelOnly="1" grandRow="1" outline="0" fieldPosition="0"/>
    </format>
    <format dxfId="31">
      <pivotArea dataOnly="0" labelOnly="1" fieldPosition="0">
        <references count="1">
          <reference field="1" count="0"/>
        </references>
      </pivotArea>
    </format>
    <format dxfId="32">
      <pivotArea dataOnly="0" labelOnly="1" grandCol="1" outline="0" fieldPosition="0"/>
    </format>
    <format dxfId="33">
      <pivotArea type="all" dataOnly="0" outline="0" fieldPosition="0"/>
    </format>
    <format dxfId="34">
      <pivotArea outline="0" collapsedLevelsAreSubtotals="1" fieldPosition="0"/>
    </format>
    <format dxfId="35">
      <pivotArea type="origin" dataOnly="0" labelOnly="1" outline="0" fieldPosition="0"/>
    </format>
    <format dxfId="36">
      <pivotArea field="1" type="button" dataOnly="0" labelOnly="1" outline="0" axis="axisCol" fieldPosition="0"/>
    </format>
    <format dxfId="37">
      <pivotArea type="topRight" dataOnly="0" labelOnly="1" outline="0" fieldPosition="0"/>
    </format>
    <format dxfId="38">
      <pivotArea field="0" type="button" dataOnly="0" labelOnly="1" outline="0" axis="axisRow" fieldPosition="0"/>
    </format>
    <format dxfId="3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0">
      <pivotArea dataOnly="0" labelOnly="1" fieldPosition="0">
        <references count="1">
          <reference field="0" count="22">
            <x v="50"/>
            <x v="51"/>
            <x v="52"/>
            <x v="53"/>
            <x v="54"/>
            <x v="55"/>
            <x v="56"/>
            <x v="57"/>
            <x v="58"/>
            <x v="59"/>
            <x v="60"/>
            <x v="61"/>
            <x v="62"/>
            <x v="63"/>
            <x v="64"/>
            <x v="65"/>
            <x v="66"/>
            <x v="67"/>
            <x v="68"/>
            <x v="69"/>
            <x v="70"/>
            <x v="71"/>
          </reference>
        </references>
      </pivotArea>
    </format>
    <format dxfId="41">
      <pivotArea dataOnly="0" labelOnly="1" grandRow="1" outline="0" fieldPosition="0"/>
    </format>
    <format dxfId="42">
      <pivotArea dataOnly="0" labelOnly="1" fieldPosition="0">
        <references count="1">
          <reference field="1" count="0"/>
        </references>
      </pivotArea>
    </format>
    <format dxfId="43">
      <pivotArea dataOnly="0" labelOnly="1" grandCol="1" outline="0" fieldPosition="0"/>
    </format>
  </formats>
  <chartFormats count="4">
    <chartFormat chart="4" format="5"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2C87D2-1B84-4466-A9A3-7BAFC30B35E1}" name="PivotTable1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F17" firstHeaderRow="1" firstDataRow="2" firstDataCol="1"/>
  <pivotFields count="7">
    <pivotField showAll="0"/>
    <pivotField axis="axisRow" showAll="0">
      <items count="13">
        <item x="0"/>
        <item x="1"/>
        <item x="2"/>
        <item x="3"/>
        <item x="4"/>
        <item x="5"/>
        <item x="6"/>
        <item x="7"/>
        <item x="8"/>
        <item x="9"/>
        <item x="10"/>
        <item x="11"/>
        <item t="default"/>
      </items>
    </pivotField>
    <pivotField axis="axisCol" showAll="0">
      <items count="5">
        <item x="0"/>
        <item x="1"/>
        <item x="2"/>
        <item x="3"/>
        <item t="default"/>
      </items>
    </pivotField>
    <pivotField showAll="0"/>
    <pivotField showAll="0"/>
    <pivotField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Sales" fld="6" baseField="0" baseItem="0"/>
  </dataFields>
  <chartFormats count="52">
    <chartFormat chart="5" format="56" series="1">
      <pivotArea type="data" outline="0" fieldPosition="0">
        <references count="2">
          <reference field="4294967294" count="1" selected="0">
            <x v="0"/>
          </reference>
          <reference field="2" count="1" selected="0">
            <x v="0"/>
          </reference>
        </references>
      </pivotArea>
    </chartFormat>
    <chartFormat chart="5" format="57">
      <pivotArea type="data" outline="0" fieldPosition="0">
        <references count="3">
          <reference field="4294967294" count="1" selected="0">
            <x v="0"/>
          </reference>
          <reference field="1" count="1" selected="0">
            <x v="0"/>
          </reference>
          <reference field="2" count="1" selected="0">
            <x v="0"/>
          </reference>
        </references>
      </pivotArea>
    </chartFormat>
    <chartFormat chart="5" format="58">
      <pivotArea type="data" outline="0" fieldPosition="0">
        <references count="3">
          <reference field="4294967294" count="1" selected="0">
            <x v="0"/>
          </reference>
          <reference field="1" count="1" selected="0">
            <x v="1"/>
          </reference>
          <reference field="2" count="1" selected="0">
            <x v="0"/>
          </reference>
        </references>
      </pivotArea>
    </chartFormat>
    <chartFormat chart="5" format="59">
      <pivotArea type="data" outline="0" fieldPosition="0">
        <references count="3">
          <reference field="4294967294" count="1" selected="0">
            <x v="0"/>
          </reference>
          <reference field="1" count="1" selected="0">
            <x v="2"/>
          </reference>
          <reference field="2" count="1" selected="0">
            <x v="0"/>
          </reference>
        </references>
      </pivotArea>
    </chartFormat>
    <chartFormat chart="5" format="60">
      <pivotArea type="data" outline="0" fieldPosition="0">
        <references count="3">
          <reference field="4294967294" count="1" selected="0">
            <x v="0"/>
          </reference>
          <reference field="1" count="1" selected="0">
            <x v="3"/>
          </reference>
          <reference field="2" count="1" selected="0">
            <x v="0"/>
          </reference>
        </references>
      </pivotArea>
    </chartFormat>
    <chartFormat chart="5" format="61">
      <pivotArea type="data" outline="0" fieldPosition="0">
        <references count="3">
          <reference field="4294967294" count="1" selected="0">
            <x v="0"/>
          </reference>
          <reference field="1" count="1" selected="0">
            <x v="4"/>
          </reference>
          <reference field="2" count="1" selected="0">
            <x v="0"/>
          </reference>
        </references>
      </pivotArea>
    </chartFormat>
    <chartFormat chart="5" format="62">
      <pivotArea type="data" outline="0" fieldPosition="0">
        <references count="3">
          <reference field="4294967294" count="1" selected="0">
            <x v="0"/>
          </reference>
          <reference field="1" count="1" selected="0">
            <x v="5"/>
          </reference>
          <reference field="2" count="1" selected="0">
            <x v="0"/>
          </reference>
        </references>
      </pivotArea>
    </chartFormat>
    <chartFormat chart="5" format="63">
      <pivotArea type="data" outline="0" fieldPosition="0">
        <references count="3">
          <reference field="4294967294" count="1" selected="0">
            <x v="0"/>
          </reference>
          <reference field="1" count="1" selected="0">
            <x v="6"/>
          </reference>
          <reference field="2" count="1" selected="0">
            <x v="0"/>
          </reference>
        </references>
      </pivotArea>
    </chartFormat>
    <chartFormat chart="5" format="64">
      <pivotArea type="data" outline="0" fieldPosition="0">
        <references count="3">
          <reference field="4294967294" count="1" selected="0">
            <x v="0"/>
          </reference>
          <reference field="1" count="1" selected="0">
            <x v="7"/>
          </reference>
          <reference field="2" count="1" selected="0">
            <x v="0"/>
          </reference>
        </references>
      </pivotArea>
    </chartFormat>
    <chartFormat chart="5" format="65">
      <pivotArea type="data" outline="0" fieldPosition="0">
        <references count="3">
          <reference field="4294967294" count="1" selected="0">
            <x v="0"/>
          </reference>
          <reference field="1" count="1" selected="0">
            <x v="8"/>
          </reference>
          <reference field="2" count="1" selected="0">
            <x v="0"/>
          </reference>
        </references>
      </pivotArea>
    </chartFormat>
    <chartFormat chart="5" format="66">
      <pivotArea type="data" outline="0" fieldPosition="0">
        <references count="3">
          <reference field="4294967294" count="1" selected="0">
            <x v="0"/>
          </reference>
          <reference field="1" count="1" selected="0">
            <x v="9"/>
          </reference>
          <reference field="2" count="1" selected="0">
            <x v="0"/>
          </reference>
        </references>
      </pivotArea>
    </chartFormat>
    <chartFormat chart="5" format="67">
      <pivotArea type="data" outline="0" fieldPosition="0">
        <references count="3">
          <reference field="4294967294" count="1" selected="0">
            <x v="0"/>
          </reference>
          <reference field="1" count="1" selected="0">
            <x v="10"/>
          </reference>
          <reference field="2" count="1" selected="0">
            <x v="0"/>
          </reference>
        </references>
      </pivotArea>
    </chartFormat>
    <chartFormat chart="5" format="68">
      <pivotArea type="data" outline="0" fieldPosition="0">
        <references count="3">
          <reference field="4294967294" count="1" selected="0">
            <x v="0"/>
          </reference>
          <reference field="1" count="1" selected="0">
            <x v="11"/>
          </reference>
          <reference field="2" count="1" selected="0">
            <x v="0"/>
          </reference>
        </references>
      </pivotArea>
    </chartFormat>
    <chartFormat chart="5" format="69" series="1">
      <pivotArea type="data" outline="0" fieldPosition="0">
        <references count="2">
          <reference field="4294967294" count="1" selected="0">
            <x v="0"/>
          </reference>
          <reference field="2" count="1" selected="0">
            <x v="1"/>
          </reference>
        </references>
      </pivotArea>
    </chartFormat>
    <chartFormat chart="5" format="70">
      <pivotArea type="data" outline="0" fieldPosition="0">
        <references count="3">
          <reference field="4294967294" count="1" selected="0">
            <x v="0"/>
          </reference>
          <reference field="1" count="1" selected="0">
            <x v="0"/>
          </reference>
          <reference field="2" count="1" selected="0">
            <x v="1"/>
          </reference>
        </references>
      </pivotArea>
    </chartFormat>
    <chartFormat chart="5" format="71">
      <pivotArea type="data" outline="0" fieldPosition="0">
        <references count="3">
          <reference field="4294967294" count="1" selected="0">
            <x v="0"/>
          </reference>
          <reference field="1" count="1" selected="0">
            <x v="1"/>
          </reference>
          <reference field="2" count="1" selected="0">
            <x v="1"/>
          </reference>
        </references>
      </pivotArea>
    </chartFormat>
    <chartFormat chart="5" format="72">
      <pivotArea type="data" outline="0" fieldPosition="0">
        <references count="3">
          <reference field="4294967294" count="1" selected="0">
            <x v="0"/>
          </reference>
          <reference field="1" count="1" selected="0">
            <x v="2"/>
          </reference>
          <reference field="2" count="1" selected="0">
            <x v="1"/>
          </reference>
        </references>
      </pivotArea>
    </chartFormat>
    <chartFormat chart="5" format="73">
      <pivotArea type="data" outline="0" fieldPosition="0">
        <references count="3">
          <reference field="4294967294" count="1" selected="0">
            <x v="0"/>
          </reference>
          <reference field="1" count="1" selected="0">
            <x v="3"/>
          </reference>
          <reference field="2" count="1" selected="0">
            <x v="1"/>
          </reference>
        </references>
      </pivotArea>
    </chartFormat>
    <chartFormat chart="5" format="74">
      <pivotArea type="data" outline="0" fieldPosition="0">
        <references count="3">
          <reference field="4294967294" count="1" selected="0">
            <x v="0"/>
          </reference>
          <reference field="1" count="1" selected="0">
            <x v="4"/>
          </reference>
          <reference field="2" count="1" selected="0">
            <x v="1"/>
          </reference>
        </references>
      </pivotArea>
    </chartFormat>
    <chartFormat chart="5" format="75">
      <pivotArea type="data" outline="0" fieldPosition="0">
        <references count="3">
          <reference field="4294967294" count="1" selected="0">
            <x v="0"/>
          </reference>
          <reference field="1" count="1" selected="0">
            <x v="5"/>
          </reference>
          <reference field="2" count="1" selected="0">
            <x v="1"/>
          </reference>
        </references>
      </pivotArea>
    </chartFormat>
    <chartFormat chart="5" format="76">
      <pivotArea type="data" outline="0" fieldPosition="0">
        <references count="3">
          <reference field="4294967294" count="1" selected="0">
            <x v="0"/>
          </reference>
          <reference field="1" count="1" selected="0">
            <x v="6"/>
          </reference>
          <reference field="2" count="1" selected="0">
            <x v="1"/>
          </reference>
        </references>
      </pivotArea>
    </chartFormat>
    <chartFormat chart="5" format="77">
      <pivotArea type="data" outline="0" fieldPosition="0">
        <references count="3">
          <reference field="4294967294" count="1" selected="0">
            <x v="0"/>
          </reference>
          <reference field="1" count="1" selected="0">
            <x v="7"/>
          </reference>
          <reference field="2" count="1" selected="0">
            <x v="1"/>
          </reference>
        </references>
      </pivotArea>
    </chartFormat>
    <chartFormat chart="5" format="78">
      <pivotArea type="data" outline="0" fieldPosition="0">
        <references count="3">
          <reference field="4294967294" count="1" selected="0">
            <x v="0"/>
          </reference>
          <reference field="1" count="1" selected="0">
            <x v="8"/>
          </reference>
          <reference field="2" count="1" selected="0">
            <x v="1"/>
          </reference>
        </references>
      </pivotArea>
    </chartFormat>
    <chartFormat chart="5" format="79">
      <pivotArea type="data" outline="0" fieldPosition="0">
        <references count="3">
          <reference field="4294967294" count="1" selected="0">
            <x v="0"/>
          </reference>
          <reference field="1" count="1" selected="0">
            <x v="9"/>
          </reference>
          <reference field="2" count="1" selected="0">
            <x v="1"/>
          </reference>
        </references>
      </pivotArea>
    </chartFormat>
    <chartFormat chart="5" format="80">
      <pivotArea type="data" outline="0" fieldPosition="0">
        <references count="3">
          <reference field="4294967294" count="1" selected="0">
            <x v="0"/>
          </reference>
          <reference field="1" count="1" selected="0">
            <x v="10"/>
          </reference>
          <reference field="2" count="1" selected="0">
            <x v="1"/>
          </reference>
        </references>
      </pivotArea>
    </chartFormat>
    <chartFormat chart="5" format="81">
      <pivotArea type="data" outline="0" fieldPosition="0">
        <references count="3">
          <reference field="4294967294" count="1" selected="0">
            <x v="0"/>
          </reference>
          <reference field="1" count="1" selected="0">
            <x v="11"/>
          </reference>
          <reference field="2" count="1" selected="0">
            <x v="1"/>
          </reference>
        </references>
      </pivotArea>
    </chartFormat>
    <chartFormat chart="5" format="82" series="1">
      <pivotArea type="data" outline="0" fieldPosition="0">
        <references count="2">
          <reference field="4294967294" count="1" selected="0">
            <x v="0"/>
          </reference>
          <reference field="2" count="1" selected="0">
            <x v="2"/>
          </reference>
        </references>
      </pivotArea>
    </chartFormat>
    <chartFormat chart="5" format="83">
      <pivotArea type="data" outline="0" fieldPosition="0">
        <references count="3">
          <reference field="4294967294" count="1" selected="0">
            <x v="0"/>
          </reference>
          <reference field="1" count="1" selected="0">
            <x v="0"/>
          </reference>
          <reference field="2" count="1" selected="0">
            <x v="2"/>
          </reference>
        </references>
      </pivotArea>
    </chartFormat>
    <chartFormat chart="5" format="84">
      <pivotArea type="data" outline="0" fieldPosition="0">
        <references count="3">
          <reference field="4294967294" count="1" selected="0">
            <x v="0"/>
          </reference>
          <reference field="1" count="1" selected="0">
            <x v="1"/>
          </reference>
          <reference field="2" count="1" selected="0">
            <x v="2"/>
          </reference>
        </references>
      </pivotArea>
    </chartFormat>
    <chartFormat chart="5" format="85">
      <pivotArea type="data" outline="0" fieldPosition="0">
        <references count="3">
          <reference field="4294967294" count="1" selected="0">
            <x v="0"/>
          </reference>
          <reference field="1" count="1" selected="0">
            <x v="2"/>
          </reference>
          <reference field="2" count="1" selected="0">
            <x v="2"/>
          </reference>
        </references>
      </pivotArea>
    </chartFormat>
    <chartFormat chart="5" format="86">
      <pivotArea type="data" outline="0" fieldPosition="0">
        <references count="3">
          <reference field="4294967294" count="1" selected="0">
            <x v="0"/>
          </reference>
          <reference field="1" count="1" selected="0">
            <x v="3"/>
          </reference>
          <reference field="2" count="1" selected="0">
            <x v="2"/>
          </reference>
        </references>
      </pivotArea>
    </chartFormat>
    <chartFormat chart="5" format="87">
      <pivotArea type="data" outline="0" fieldPosition="0">
        <references count="3">
          <reference field="4294967294" count="1" selected="0">
            <x v="0"/>
          </reference>
          <reference field="1" count="1" selected="0">
            <x v="4"/>
          </reference>
          <reference field="2" count="1" selected="0">
            <x v="2"/>
          </reference>
        </references>
      </pivotArea>
    </chartFormat>
    <chartFormat chart="5" format="88">
      <pivotArea type="data" outline="0" fieldPosition="0">
        <references count="3">
          <reference field="4294967294" count="1" selected="0">
            <x v="0"/>
          </reference>
          <reference field="1" count="1" selected="0">
            <x v="5"/>
          </reference>
          <reference field="2" count="1" selected="0">
            <x v="2"/>
          </reference>
        </references>
      </pivotArea>
    </chartFormat>
    <chartFormat chart="5" format="89">
      <pivotArea type="data" outline="0" fieldPosition="0">
        <references count="3">
          <reference field="4294967294" count="1" selected="0">
            <x v="0"/>
          </reference>
          <reference field="1" count="1" selected="0">
            <x v="6"/>
          </reference>
          <reference field="2" count="1" selected="0">
            <x v="2"/>
          </reference>
        </references>
      </pivotArea>
    </chartFormat>
    <chartFormat chart="5" format="90">
      <pivotArea type="data" outline="0" fieldPosition="0">
        <references count="3">
          <reference field="4294967294" count="1" selected="0">
            <x v="0"/>
          </reference>
          <reference field="1" count="1" selected="0">
            <x v="7"/>
          </reference>
          <reference field="2" count="1" selected="0">
            <x v="2"/>
          </reference>
        </references>
      </pivotArea>
    </chartFormat>
    <chartFormat chart="5" format="91">
      <pivotArea type="data" outline="0" fieldPosition="0">
        <references count="3">
          <reference field="4294967294" count="1" selected="0">
            <x v="0"/>
          </reference>
          <reference field="1" count="1" selected="0">
            <x v="8"/>
          </reference>
          <reference field="2" count="1" selected="0">
            <x v="2"/>
          </reference>
        </references>
      </pivotArea>
    </chartFormat>
    <chartFormat chart="5" format="92">
      <pivotArea type="data" outline="0" fieldPosition="0">
        <references count="3">
          <reference field="4294967294" count="1" selected="0">
            <x v="0"/>
          </reference>
          <reference field="1" count="1" selected="0">
            <x v="9"/>
          </reference>
          <reference field="2" count="1" selected="0">
            <x v="2"/>
          </reference>
        </references>
      </pivotArea>
    </chartFormat>
    <chartFormat chart="5" format="93">
      <pivotArea type="data" outline="0" fieldPosition="0">
        <references count="3">
          <reference field="4294967294" count="1" selected="0">
            <x v="0"/>
          </reference>
          <reference field="1" count="1" selected="0">
            <x v="10"/>
          </reference>
          <reference field="2" count="1" selected="0">
            <x v="2"/>
          </reference>
        </references>
      </pivotArea>
    </chartFormat>
    <chartFormat chart="5" format="94">
      <pivotArea type="data" outline="0" fieldPosition="0">
        <references count="3">
          <reference field="4294967294" count="1" selected="0">
            <x v="0"/>
          </reference>
          <reference field="1" count="1" selected="0">
            <x v="11"/>
          </reference>
          <reference field="2" count="1" selected="0">
            <x v="2"/>
          </reference>
        </references>
      </pivotArea>
    </chartFormat>
    <chartFormat chart="5" format="95" series="1">
      <pivotArea type="data" outline="0" fieldPosition="0">
        <references count="2">
          <reference field="4294967294" count="1" selected="0">
            <x v="0"/>
          </reference>
          <reference field="2" count="1" selected="0">
            <x v="3"/>
          </reference>
        </references>
      </pivotArea>
    </chartFormat>
    <chartFormat chart="5" format="96">
      <pivotArea type="data" outline="0" fieldPosition="0">
        <references count="3">
          <reference field="4294967294" count="1" selected="0">
            <x v="0"/>
          </reference>
          <reference field="1" count="1" selected="0">
            <x v="0"/>
          </reference>
          <reference field="2" count="1" selected="0">
            <x v="3"/>
          </reference>
        </references>
      </pivotArea>
    </chartFormat>
    <chartFormat chart="5" format="97">
      <pivotArea type="data" outline="0" fieldPosition="0">
        <references count="3">
          <reference field="4294967294" count="1" selected="0">
            <x v="0"/>
          </reference>
          <reference field="1" count="1" selected="0">
            <x v="1"/>
          </reference>
          <reference field="2" count="1" selected="0">
            <x v="3"/>
          </reference>
        </references>
      </pivotArea>
    </chartFormat>
    <chartFormat chart="5" format="98">
      <pivotArea type="data" outline="0" fieldPosition="0">
        <references count="3">
          <reference field="4294967294" count="1" selected="0">
            <x v="0"/>
          </reference>
          <reference field="1" count="1" selected="0">
            <x v="2"/>
          </reference>
          <reference field="2" count="1" selected="0">
            <x v="3"/>
          </reference>
        </references>
      </pivotArea>
    </chartFormat>
    <chartFormat chart="5" format="99">
      <pivotArea type="data" outline="0" fieldPosition="0">
        <references count="3">
          <reference field="4294967294" count="1" selected="0">
            <x v="0"/>
          </reference>
          <reference field="1" count="1" selected="0">
            <x v="3"/>
          </reference>
          <reference field="2" count="1" selected="0">
            <x v="3"/>
          </reference>
        </references>
      </pivotArea>
    </chartFormat>
    <chartFormat chart="5" format="100">
      <pivotArea type="data" outline="0" fieldPosition="0">
        <references count="3">
          <reference field="4294967294" count="1" selected="0">
            <x v="0"/>
          </reference>
          <reference field="1" count="1" selected="0">
            <x v="4"/>
          </reference>
          <reference field="2" count="1" selected="0">
            <x v="3"/>
          </reference>
        </references>
      </pivotArea>
    </chartFormat>
    <chartFormat chart="5" format="101">
      <pivotArea type="data" outline="0" fieldPosition="0">
        <references count="3">
          <reference field="4294967294" count="1" selected="0">
            <x v="0"/>
          </reference>
          <reference field="1" count="1" selected="0">
            <x v="5"/>
          </reference>
          <reference field="2" count="1" selected="0">
            <x v="3"/>
          </reference>
        </references>
      </pivotArea>
    </chartFormat>
    <chartFormat chart="5" format="102">
      <pivotArea type="data" outline="0" fieldPosition="0">
        <references count="3">
          <reference field="4294967294" count="1" selected="0">
            <x v="0"/>
          </reference>
          <reference field="1" count="1" selected="0">
            <x v="6"/>
          </reference>
          <reference field="2" count="1" selected="0">
            <x v="3"/>
          </reference>
        </references>
      </pivotArea>
    </chartFormat>
    <chartFormat chart="5" format="103">
      <pivotArea type="data" outline="0" fieldPosition="0">
        <references count="3">
          <reference field="4294967294" count="1" selected="0">
            <x v="0"/>
          </reference>
          <reference field="1" count="1" selected="0">
            <x v="7"/>
          </reference>
          <reference field="2" count="1" selected="0">
            <x v="3"/>
          </reference>
        </references>
      </pivotArea>
    </chartFormat>
    <chartFormat chart="5" format="104">
      <pivotArea type="data" outline="0" fieldPosition="0">
        <references count="3">
          <reference field="4294967294" count="1" selected="0">
            <x v="0"/>
          </reference>
          <reference field="1" count="1" selected="0">
            <x v="8"/>
          </reference>
          <reference field="2" count="1" selected="0">
            <x v="3"/>
          </reference>
        </references>
      </pivotArea>
    </chartFormat>
    <chartFormat chart="5" format="105">
      <pivotArea type="data" outline="0" fieldPosition="0">
        <references count="3">
          <reference field="4294967294" count="1" selected="0">
            <x v="0"/>
          </reference>
          <reference field="1" count="1" selected="0">
            <x v="9"/>
          </reference>
          <reference field="2" count="1" selected="0">
            <x v="3"/>
          </reference>
        </references>
      </pivotArea>
    </chartFormat>
    <chartFormat chart="5" format="106">
      <pivotArea type="data" outline="0" fieldPosition="0">
        <references count="3">
          <reference field="4294967294" count="1" selected="0">
            <x v="0"/>
          </reference>
          <reference field="1" count="1" selected="0">
            <x v="10"/>
          </reference>
          <reference field="2" count="1" selected="0">
            <x v="3"/>
          </reference>
        </references>
      </pivotArea>
    </chartFormat>
    <chartFormat chart="5" format="107">
      <pivotArea type="data" outline="0" fieldPosition="0">
        <references count="3">
          <reference field="4294967294" count="1" selected="0">
            <x v="0"/>
          </reference>
          <reference field="1" count="1" selected="0">
            <x v="1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B23040-1DE2-4318-84F7-994B6C76C59A}" name="PivotTable1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7">
    <pivotField showAll="0"/>
    <pivotField showAll="0"/>
    <pivotField showAll="0">
      <items count="5">
        <item x="0"/>
        <item x="1"/>
        <item x="2"/>
        <item x="3"/>
        <item t="default"/>
      </items>
    </pivotField>
    <pivotField showAll="0"/>
    <pivotField showAll="0"/>
    <pivotField axis="axisRow" showAll="0">
      <items count="3">
        <item x="0"/>
        <item x="1"/>
        <item t="default"/>
      </items>
    </pivotField>
    <pivotField dataField="1" showAll="0"/>
  </pivotFields>
  <rowFields count="1">
    <field x="5"/>
  </rowFields>
  <rowItems count="3">
    <i>
      <x/>
    </i>
    <i>
      <x v="1"/>
    </i>
    <i t="grand">
      <x/>
    </i>
  </rowItems>
  <colItems count="1">
    <i/>
  </colItems>
  <dataFields count="1">
    <dataField name="Sum of Sales"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F05C5-3997-41F8-B480-7930D512F682}" name="PivotTable18"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7" firstHeaderRow="1" firstDataRow="1" firstDataCol="1"/>
  <pivotFields count="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Sum of Sales" fld="6"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C6E350-0B12-4A20-88E9-B0FD0103C217}" name="PivotTable19"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7">
    <pivotField showAll="0">
      <items count="74">
        <item x="12"/>
        <item x="43"/>
        <item x="13"/>
        <item x="44"/>
        <item x="14"/>
        <item x="45"/>
        <item x="15"/>
        <item x="46"/>
        <item x="16"/>
        <item x="47"/>
        <item x="17"/>
        <item x="48"/>
        <item x="18"/>
        <item x="49"/>
        <item x="19"/>
        <item x="50"/>
        <item x="20"/>
        <item x="51"/>
        <item x="21"/>
        <item x="52"/>
        <item x="22"/>
        <item x="53"/>
        <item x="23"/>
        <item x="54"/>
        <item x="24"/>
        <item x="55"/>
        <item x="25"/>
        <item x="56"/>
        <item x="26"/>
        <item x="57"/>
        <item x="27"/>
        <item x="58"/>
        <item x="28"/>
        <item x="59"/>
        <item x="29"/>
        <item x="30"/>
        <item x="0"/>
        <item x="31"/>
        <item x="60"/>
        <item x="1"/>
        <item x="32"/>
        <item x="61"/>
        <item x="2"/>
        <item x="33"/>
        <item x="62"/>
        <item x="3"/>
        <item x="34"/>
        <item x="63"/>
        <item x="4"/>
        <item x="35"/>
        <item x="64"/>
        <item x="5"/>
        <item x="36"/>
        <item x="65"/>
        <item x="6"/>
        <item x="37"/>
        <item x="66"/>
        <item x="7"/>
        <item x="38"/>
        <item x="67"/>
        <item x="8"/>
        <item x="39"/>
        <item x="68"/>
        <item x="9"/>
        <item x="40"/>
        <item x="69"/>
        <item x="10"/>
        <item x="41"/>
        <item x="70"/>
        <item x="11"/>
        <item x="42"/>
        <item x="71"/>
        <item x="72"/>
        <item t="default"/>
      </items>
    </pivotField>
    <pivotField axis="axisRow" showAll="0">
      <items count="14">
        <item x="0"/>
        <item x="1"/>
        <item x="2"/>
        <item h="1" x="3"/>
        <item h="1" x="4"/>
        <item h="1" x="5"/>
        <item h="1" x="6"/>
        <item h="1" x="7"/>
        <item h="1" x="8"/>
        <item h="1" x="9"/>
        <item h="1" x="10"/>
        <item h="1" x="11"/>
        <item h="1" x="12"/>
        <item t="default"/>
      </items>
    </pivotField>
    <pivotField showAll="0"/>
    <pivotField showAll="0"/>
    <pivotField dataField="1" showAll="0"/>
    <pivotField showAll="0"/>
    <pivotField showAll="0"/>
  </pivotFields>
  <rowFields count="1">
    <field x="1"/>
  </rowFields>
  <rowItems count="4">
    <i>
      <x/>
    </i>
    <i>
      <x v="1"/>
    </i>
    <i>
      <x v="2"/>
    </i>
    <i t="grand">
      <x/>
    </i>
  </rowItems>
  <colItems count="1">
    <i/>
  </colItems>
  <dataFields count="1">
    <dataField name="Average of Price" fld="4" subtotal="average" baseField="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86683B-E554-43F6-ABC2-D01CE0A9B2C2}" name="PivotTable2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0" firstHeaderRow="1" firstDataRow="2" firstDataCol="1"/>
  <pivotFields count="7">
    <pivotField showAll="0"/>
    <pivotField showAll="0"/>
    <pivotField axis="axisRow" showAll="0">
      <items count="6">
        <item x="0"/>
        <item x="1"/>
        <item x="2"/>
        <item x="3"/>
        <item x="4"/>
        <item t="default"/>
      </items>
    </pivotField>
    <pivotField showAll="0"/>
    <pivotField showAll="0"/>
    <pivotField axis="axisCol" showAll="0">
      <items count="4">
        <item x="0"/>
        <item x="1"/>
        <item x="2"/>
        <item t="default"/>
      </items>
    </pivotField>
    <pivotField dataField="1" showAll="0"/>
  </pivotFields>
  <rowFields count="1">
    <field x="2"/>
  </rowFields>
  <rowItems count="6">
    <i>
      <x/>
    </i>
    <i>
      <x v="1"/>
    </i>
    <i>
      <x v="2"/>
    </i>
    <i>
      <x v="3"/>
    </i>
    <i>
      <x v="4"/>
    </i>
    <i t="grand">
      <x/>
    </i>
  </rowItems>
  <colFields count="1">
    <field x="5"/>
  </colFields>
  <colItems count="4">
    <i>
      <x/>
    </i>
    <i>
      <x v="1"/>
    </i>
    <i>
      <x v="2"/>
    </i>
    <i t="grand">
      <x/>
    </i>
  </colItems>
  <dataFields count="1">
    <dataField name="Sum of Sales" fld="6" baseField="0" baseItem="0"/>
  </dataFields>
  <chartFormats count="12">
    <chartFormat chart="7" format="9" series="1">
      <pivotArea type="data" outline="0" fieldPosition="0">
        <references count="1">
          <reference field="5" count="1" selected="0">
            <x v="0"/>
          </reference>
        </references>
      </pivotArea>
    </chartFormat>
    <chartFormat chart="7" format="10" series="1">
      <pivotArea type="data" outline="0" fieldPosition="0">
        <references count="1">
          <reference field="5" count="1" selected="0">
            <x v="1"/>
          </reference>
        </references>
      </pivotArea>
    </chartFormat>
    <chartFormat chart="7" format="11" series="1">
      <pivotArea type="data" outline="0" fieldPosition="0">
        <references count="1">
          <reference field="5" count="1" selected="0">
            <x v="2"/>
          </reference>
        </references>
      </pivotArea>
    </chartFormat>
    <chartFormat chart="6" format="6" series="1">
      <pivotArea type="data" outline="0" fieldPosition="0">
        <references count="1">
          <reference field="5" count="1" selected="0">
            <x v="0"/>
          </reference>
        </references>
      </pivotArea>
    </chartFormat>
    <chartFormat chart="6" format="7" series="1">
      <pivotArea type="data" outline="0" fieldPosition="0">
        <references count="1">
          <reference field="5" count="1" selected="0">
            <x v="1"/>
          </reference>
        </references>
      </pivotArea>
    </chartFormat>
    <chartFormat chart="6" format="8" series="1">
      <pivotArea type="data" outline="0" fieldPosition="0">
        <references count="1">
          <reference field="5" count="1" selected="0">
            <x v="2"/>
          </reference>
        </references>
      </pivotArea>
    </chartFormat>
    <chartFormat chart="7" format="12" series="1">
      <pivotArea type="data" outline="0" fieldPosition="0">
        <references count="2">
          <reference field="4294967294" count="1" selected="0">
            <x v="0"/>
          </reference>
          <reference field="5" count="1" selected="0">
            <x v="0"/>
          </reference>
        </references>
      </pivotArea>
    </chartFormat>
    <chartFormat chart="7" format="13" series="1">
      <pivotArea type="data" outline="0" fieldPosition="0">
        <references count="2">
          <reference field="4294967294" count="1" selected="0">
            <x v="0"/>
          </reference>
          <reference field="5" count="1" selected="0">
            <x v="1"/>
          </reference>
        </references>
      </pivotArea>
    </chartFormat>
    <chartFormat chart="7" format="14" series="1">
      <pivotArea type="data" outline="0" fieldPosition="0">
        <references count="2">
          <reference field="4294967294" count="1" selected="0">
            <x v="0"/>
          </reference>
          <reference field="5" count="1" selected="0">
            <x v="2"/>
          </reference>
        </references>
      </pivotArea>
    </chartFormat>
    <chartFormat chart="6" format="9" series="1">
      <pivotArea type="data" outline="0" fieldPosition="0">
        <references count="2">
          <reference field="4294967294" count="1" selected="0">
            <x v="0"/>
          </reference>
          <reference field="5" count="1" selected="0">
            <x v="0"/>
          </reference>
        </references>
      </pivotArea>
    </chartFormat>
    <chartFormat chart="6" format="10" series="1">
      <pivotArea type="data" outline="0" fieldPosition="0">
        <references count="2">
          <reference field="4294967294" count="1" selected="0">
            <x v="0"/>
          </reference>
          <reference field="5" count="1" selected="0">
            <x v="1"/>
          </reference>
        </references>
      </pivotArea>
    </chartFormat>
    <chartFormat chart="6" format="1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06B8A9-230B-4991-8555-7DDF76D5C3E7}" name="PivotTable22"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7" firstHeaderRow="1" firstDataRow="2" firstDataCol="1"/>
  <pivotFields count="7">
    <pivotField showAll="0"/>
    <pivotField axis="axisRow" showAll="0">
      <items count="14">
        <item x="0"/>
        <item x="1"/>
        <item x="2"/>
        <item x="3"/>
        <item x="4"/>
        <item x="5"/>
        <item x="6"/>
        <item x="7"/>
        <item x="8"/>
        <item x="9"/>
        <item x="10"/>
        <item x="11"/>
        <item x="12"/>
        <item t="default"/>
      </items>
    </pivotField>
    <pivotField showAll="0"/>
    <pivotField showAll="0"/>
    <pivotField showAll="0"/>
    <pivotField axis="axisCol" showAll="0">
      <items count="4">
        <item x="0"/>
        <item x="1"/>
        <item h="1" x="2"/>
        <item t="default"/>
      </items>
    </pivotField>
    <pivotField dataField="1" showAll="0"/>
  </pivotFields>
  <rowFields count="1">
    <field x="1"/>
  </rowFields>
  <rowItems count="13">
    <i>
      <x/>
    </i>
    <i>
      <x v="1"/>
    </i>
    <i>
      <x v="2"/>
    </i>
    <i>
      <x v="3"/>
    </i>
    <i>
      <x v="4"/>
    </i>
    <i>
      <x v="5"/>
    </i>
    <i>
      <x v="6"/>
    </i>
    <i>
      <x v="7"/>
    </i>
    <i>
      <x v="8"/>
    </i>
    <i>
      <x v="9"/>
    </i>
    <i>
      <x v="10"/>
    </i>
    <i>
      <x v="11"/>
    </i>
    <i t="grand">
      <x/>
    </i>
  </rowItems>
  <colFields count="1">
    <field x="5"/>
  </colFields>
  <colItems count="3">
    <i>
      <x/>
    </i>
    <i>
      <x v="1"/>
    </i>
    <i t="grand">
      <x/>
    </i>
  </colItems>
  <dataFields count="1">
    <dataField name="Sum of Sales" fld="6"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7" format="4" series="1">
      <pivotArea type="data" outline="0" fieldPosition="0">
        <references count="2">
          <reference field="4294967294" count="1" selected="0">
            <x v="0"/>
          </reference>
          <reference field="5" count="1" selected="0">
            <x v="0"/>
          </reference>
        </references>
      </pivotArea>
    </chartFormat>
    <chartFormat chart="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A57E85-3E34-4F5B-B6E2-57DFE544A64C}" name="PivotTable2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7">
    <pivotField showAll="0"/>
    <pivotField showAll="0"/>
    <pivotField showAll="0"/>
    <pivotField showAll="0"/>
    <pivotField dataField="1" showAll="0">
      <items count="6">
        <item x="0"/>
        <item x="1"/>
        <item x="2"/>
        <item x="3"/>
        <item x="4"/>
        <item t="default"/>
      </items>
    </pivotField>
    <pivotField axis="axisRow" showAll="0">
      <items count="4">
        <item x="0"/>
        <item x="1"/>
        <item h="1" x="2"/>
        <item t="default"/>
      </items>
    </pivotField>
    <pivotField showAll="0"/>
  </pivotFields>
  <rowFields count="1">
    <field x="5"/>
  </rowFields>
  <rowItems count="3">
    <i>
      <x/>
    </i>
    <i>
      <x v="1"/>
    </i>
    <i t="grand">
      <x/>
    </i>
  </rowItems>
  <colItems count="1">
    <i/>
  </colItems>
  <dataFields count="1">
    <dataField name="Sum of Price"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E9D8A5-D595-4131-A536-BD88E2A014F7}" name="PivotTable24"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7">
    <pivotField showAll="0"/>
    <pivotField showAll="0"/>
    <pivotField showAll="0"/>
    <pivotField showAll="0"/>
    <pivotField showAll="0"/>
    <pivotField axis="axisRow" showAll="0">
      <items count="4">
        <item x="0"/>
        <item x="1"/>
        <item h="1" x="2"/>
        <item t="default"/>
      </items>
    </pivotField>
    <pivotField dataField="1" showAll="0"/>
  </pivotFields>
  <rowFields count="1">
    <field x="5"/>
  </rowFields>
  <rowItems count="3">
    <i>
      <x/>
    </i>
    <i>
      <x v="1"/>
    </i>
    <i t="grand">
      <x/>
    </i>
  </rowItems>
  <colItems count="1">
    <i/>
  </colItems>
  <dataFields count="1">
    <dataField name="Sum of Sales" fld="6" baseField="0" baseItem="0"/>
  </dataFields>
  <chartFormats count="7">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E947BEF-D707-4932-B10F-4903324A9144}" sourceName="Product">
  <pivotTables>
    <pivotTable tabId="11" name="PivotTable12"/>
    <pivotTable tabId="12" name="PivotTable13"/>
  </pivotTables>
  <data>
    <tabular pivotCacheId="2370308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099D8FA-F075-465F-A234-A754B6AD2858}" sourceName="Product">
  <pivotTables>
    <pivotTable tabId="6" name="PivotTable7"/>
  </pivotTables>
  <data>
    <tabular pivotCacheId="1829912672">
      <items count="4">
        <i x="0" s="1"/>
        <i x="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Months" xr10:uid="{ABA3AAF1-B022-4323-AC39-BECB22A63426}" sourceName="Days(Months)">
  <pivotTables>
    <pivotTable tabId="14" name="PivotTable19"/>
  </pivotTables>
  <data>
    <tabular pivotCacheId="1726390696">
      <items count="13">
        <i x="0" s="1"/>
        <i x="1" s="1"/>
        <i x="2" s="1"/>
        <i x="3"/>
        <i x="4"/>
        <i x="5"/>
        <i x="6"/>
        <i x="7"/>
        <i x="8"/>
        <i x="9"/>
        <i x="10"/>
        <i x="11"/>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5CF7C6C-8806-4984-9C5C-6E0D3814ED79}" cache="Slicer_Product1" caption="Product" rowHeight="209550"/>
  <slicer name="Product" xr10:uid="{E7788D3F-AC93-4486-B228-1F7D76928C6A}" cache="Slicer_Product" caption="Product" rowHeight="209550"/>
  <slicer name="Days(Months)" xr10:uid="{212F0532-27FF-4784-B5DA-4E3968F73BCF}" cache="Slicer_Days_Months" caption="Days(Months)"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F3926-D355-4285-B5B3-5C4D3D914843}">
  <dimension ref="A3:F77"/>
  <sheetViews>
    <sheetView topLeftCell="A3" workbookViewId="0">
      <selection activeCell="A18" sqref="A18"/>
    </sheetView>
  </sheetViews>
  <sheetFormatPr defaultRowHeight="13.2" x14ac:dyDescent="0.25"/>
  <cols>
    <col min="1" max="1" width="15.21875" style="8" bestFit="1" customWidth="1"/>
    <col min="2" max="2" width="14" style="8" bestFit="1" customWidth="1"/>
    <col min="3" max="6" width="11.33203125" style="8" bestFit="1" customWidth="1"/>
    <col min="7" max="22" width="4" style="8" bestFit="1" customWidth="1"/>
    <col min="23" max="23" width="11.33203125" style="8" bestFit="1" customWidth="1"/>
    <col min="24" max="16384" width="8.88671875" style="8"/>
  </cols>
  <sheetData>
    <row r="3" spans="1:6" x14ac:dyDescent="0.25">
      <c r="A3" s="7" t="s">
        <v>49</v>
      </c>
      <c r="B3" s="7" t="s">
        <v>50</v>
      </c>
      <c r="D3"/>
      <c r="E3"/>
      <c r="F3"/>
    </row>
    <row r="4" spans="1:6" x14ac:dyDescent="0.25">
      <c r="A4" s="7" t="s">
        <v>47</v>
      </c>
      <c r="B4" s="8" t="s">
        <v>5</v>
      </c>
      <c r="C4" s="8" t="s">
        <v>48</v>
      </c>
      <c r="D4"/>
      <c r="E4"/>
      <c r="F4"/>
    </row>
    <row r="5" spans="1:6" x14ac:dyDescent="0.25">
      <c r="A5" s="8" t="s">
        <v>11</v>
      </c>
      <c r="B5" s="9">
        <v>90</v>
      </c>
      <c r="C5" s="9">
        <v>90</v>
      </c>
      <c r="D5"/>
      <c r="E5"/>
      <c r="F5"/>
    </row>
    <row r="6" spans="1:6" x14ac:dyDescent="0.25">
      <c r="A6" s="8" t="s">
        <v>31</v>
      </c>
      <c r="B6" s="9">
        <v>130</v>
      </c>
      <c r="C6" s="9">
        <v>130</v>
      </c>
      <c r="D6"/>
      <c r="E6"/>
      <c r="F6"/>
    </row>
    <row r="7" spans="1:6" x14ac:dyDescent="0.25">
      <c r="A7" s="8" t="s">
        <v>15</v>
      </c>
      <c r="B7" s="9">
        <v>120</v>
      </c>
      <c r="C7" s="9">
        <v>120</v>
      </c>
      <c r="D7"/>
      <c r="E7"/>
      <c r="F7"/>
    </row>
    <row r="8" spans="1:6" x14ac:dyDescent="0.25">
      <c r="A8" s="8" t="s">
        <v>35</v>
      </c>
      <c r="B8" s="9">
        <v>160</v>
      </c>
      <c r="C8" s="9">
        <v>160</v>
      </c>
      <c r="D8"/>
      <c r="E8"/>
      <c r="F8"/>
    </row>
    <row r="9" spans="1:6" x14ac:dyDescent="0.25">
      <c r="A9" s="8" t="s">
        <v>19</v>
      </c>
      <c r="B9" s="9">
        <v>100</v>
      </c>
      <c r="C9" s="9">
        <v>100</v>
      </c>
      <c r="D9"/>
      <c r="E9"/>
      <c r="F9"/>
    </row>
    <row r="10" spans="1:6" x14ac:dyDescent="0.25">
      <c r="A10" s="8" t="s">
        <v>39</v>
      </c>
      <c r="B10" s="9">
        <v>140</v>
      </c>
      <c r="C10" s="9">
        <v>140</v>
      </c>
      <c r="D10"/>
      <c r="E10"/>
      <c r="F10"/>
    </row>
    <row r="11" spans="1:6" x14ac:dyDescent="0.25">
      <c r="A11" s="8" t="s">
        <v>23</v>
      </c>
      <c r="B11" s="9">
        <v>130</v>
      </c>
      <c r="C11" s="9">
        <v>130</v>
      </c>
      <c r="D11"/>
      <c r="E11"/>
      <c r="F11"/>
    </row>
    <row r="12" spans="1:6" x14ac:dyDescent="0.25">
      <c r="A12" s="8" t="s">
        <v>43</v>
      </c>
      <c r="B12" s="9">
        <v>170</v>
      </c>
      <c r="C12" s="9">
        <v>170</v>
      </c>
      <c r="D12"/>
      <c r="E12"/>
      <c r="F12"/>
    </row>
    <row r="13" spans="1:6" x14ac:dyDescent="0.25">
      <c r="A13" s="8" t="s">
        <v>27</v>
      </c>
      <c r="B13" s="9">
        <v>110</v>
      </c>
      <c r="C13" s="9">
        <v>110</v>
      </c>
      <c r="D13"/>
      <c r="E13"/>
      <c r="F13"/>
    </row>
    <row r="14" spans="1:6" x14ac:dyDescent="0.25">
      <c r="A14" s="10">
        <v>45292</v>
      </c>
      <c r="B14" s="9">
        <v>100</v>
      </c>
      <c r="C14" s="9">
        <v>100</v>
      </c>
      <c r="D14"/>
      <c r="E14"/>
      <c r="F14"/>
    </row>
    <row r="15" spans="1:6" x14ac:dyDescent="0.25">
      <c r="A15" s="10">
        <v>45294</v>
      </c>
      <c r="B15" s="9">
        <v>150</v>
      </c>
      <c r="C15" s="9">
        <v>150</v>
      </c>
      <c r="D15"/>
      <c r="E15"/>
      <c r="F15"/>
    </row>
    <row r="16" spans="1:6" x14ac:dyDescent="0.25">
      <c r="A16" s="10">
        <v>45324</v>
      </c>
      <c r="B16" s="9">
        <v>140</v>
      </c>
      <c r="C16" s="9">
        <v>140</v>
      </c>
      <c r="D16"/>
      <c r="E16"/>
      <c r="F16"/>
    </row>
    <row r="17" spans="1:6" x14ac:dyDescent="0.25">
      <c r="A17" s="10">
        <v>45413</v>
      </c>
      <c r="B17" s="9">
        <v>80</v>
      </c>
      <c r="C17" s="9">
        <v>80</v>
      </c>
      <c r="D17"/>
      <c r="E17"/>
      <c r="F17"/>
    </row>
    <row r="18" spans="1:6" x14ac:dyDescent="0.25">
      <c r="A18" s="10">
        <v>45415</v>
      </c>
      <c r="B18" s="9">
        <v>180</v>
      </c>
      <c r="C18" s="9">
        <v>180</v>
      </c>
      <c r="D18"/>
      <c r="E18"/>
      <c r="F18"/>
    </row>
    <row r="19" spans="1:6" x14ac:dyDescent="0.25">
      <c r="A19" s="10">
        <v>45445</v>
      </c>
      <c r="B19" s="9">
        <v>120</v>
      </c>
      <c r="C19" s="9">
        <v>120</v>
      </c>
      <c r="D19"/>
      <c r="E19"/>
      <c r="F19"/>
    </row>
    <row r="20" spans="1:6" x14ac:dyDescent="0.25">
      <c r="A20" s="10">
        <v>45536</v>
      </c>
      <c r="B20" s="9">
        <v>110</v>
      </c>
      <c r="C20" s="9">
        <v>110</v>
      </c>
      <c r="D20"/>
      <c r="E20"/>
      <c r="F20"/>
    </row>
    <row r="21" spans="1:6" x14ac:dyDescent="0.25">
      <c r="A21" s="10">
        <v>45538</v>
      </c>
      <c r="B21" s="9">
        <v>160</v>
      </c>
      <c r="C21" s="9">
        <v>160</v>
      </c>
      <c r="D21"/>
      <c r="E21"/>
      <c r="F21"/>
    </row>
    <row r="22" spans="1:6" x14ac:dyDescent="0.25">
      <c r="A22" s="10">
        <v>45567</v>
      </c>
      <c r="B22" s="9">
        <v>150</v>
      </c>
      <c r="C22" s="9">
        <v>150</v>
      </c>
      <c r="D22"/>
      <c r="E22"/>
      <c r="F22"/>
    </row>
    <row r="23" spans="1:6" x14ac:dyDescent="0.25">
      <c r="A23" s="8" t="s">
        <v>48</v>
      </c>
      <c r="B23" s="9">
        <v>2340</v>
      </c>
      <c r="C23" s="9">
        <v>2340</v>
      </c>
      <c r="D23"/>
      <c r="E23"/>
      <c r="F23"/>
    </row>
    <row r="24" spans="1:6" x14ac:dyDescent="0.25">
      <c r="A24"/>
      <c r="B24"/>
      <c r="C24"/>
      <c r="D24"/>
      <c r="E24"/>
      <c r="F24"/>
    </row>
    <row r="25" spans="1:6" x14ac:dyDescent="0.25">
      <c r="A25"/>
      <c r="B25"/>
      <c r="C25"/>
      <c r="D25"/>
      <c r="E25"/>
      <c r="F25"/>
    </row>
    <row r="26" spans="1:6" x14ac:dyDescent="0.25">
      <c r="A26"/>
      <c r="B26"/>
      <c r="C26"/>
      <c r="D26"/>
      <c r="E26"/>
      <c r="F26"/>
    </row>
    <row r="27" spans="1:6" x14ac:dyDescent="0.25">
      <c r="A27"/>
      <c r="B27"/>
      <c r="C27"/>
      <c r="D27"/>
      <c r="E27"/>
      <c r="F27"/>
    </row>
    <row r="28" spans="1:6" x14ac:dyDescent="0.25">
      <c r="A28"/>
      <c r="B28"/>
      <c r="C28"/>
      <c r="D28"/>
      <c r="E28"/>
      <c r="F28"/>
    </row>
    <row r="29" spans="1:6" x14ac:dyDescent="0.25">
      <c r="A29"/>
      <c r="B29"/>
      <c r="C29"/>
      <c r="D29"/>
      <c r="E29"/>
      <c r="F29"/>
    </row>
    <row r="30" spans="1:6" x14ac:dyDescent="0.25">
      <c r="A30"/>
      <c r="B30"/>
      <c r="C30"/>
      <c r="D30"/>
      <c r="E30"/>
      <c r="F30"/>
    </row>
    <row r="31" spans="1:6" x14ac:dyDescent="0.25">
      <c r="A31"/>
      <c r="B31"/>
      <c r="C31"/>
      <c r="D31"/>
      <c r="E31"/>
      <c r="F31"/>
    </row>
    <row r="32" spans="1:6"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row r="39" spans="1:6" x14ac:dyDescent="0.25">
      <c r="A39"/>
      <c r="B39"/>
      <c r="C39"/>
      <c r="D39"/>
      <c r="E39"/>
      <c r="F39"/>
    </row>
    <row r="40" spans="1:6" x14ac:dyDescent="0.25">
      <c r="A40"/>
      <c r="B40"/>
      <c r="C40"/>
      <c r="D40"/>
      <c r="E40"/>
      <c r="F40"/>
    </row>
    <row r="41" spans="1:6" x14ac:dyDescent="0.25">
      <c r="A41"/>
      <c r="B41"/>
      <c r="C41"/>
      <c r="D41"/>
      <c r="E41"/>
      <c r="F41"/>
    </row>
    <row r="42" spans="1:6" x14ac:dyDescent="0.25">
      <c r="A42"/>
      <c r="B42"/>
      <c r="C42"/>
      <c r="D42"/>
      <c r="E42"/>
      <c r="F42"/>
    </row>
    <row r="43" spans="1:6" x14ac:dyDescent="0.25">
      <c r="A43"/>
      <c r="B43"/>
      <c r="C43"/>
      <c r="D43"/>
      <c r="E43"/>
      <c r="F43"/>
    </row>
    <row r="44" spans="1:6" x14ac:dyDescent="0.25">
      <c r="A44"/>
      <c r="B44"/>
      <c r="C44"/>
      <c r="D44"/>
      <c r="E44"/>
      <c r="F44"/>
    </row>
    <row r="45" spans="1:6" x14ac:dyDescent="0.25">
      <c r="A45"/>
      <c r="B45"/>
      <c r="C45"/>
      <c r="D45"/>
      <c r="E45"/>
      <c r="F45"/>
    </row>
    <row r="46" spans="1:6" x14ac:dyDescent="0.25">
      <c r="A46"/>
      <c r="B46"/>
      <c r="C46"/>
      <c r="D46"/>
      <c r="E46"/>
      <c r="F46"/>
    </row>
    <row r="47" spans="1:6" x14ac:dyDescent="0.25">
      <c r="A47"/>
      <c r="B47"/>
      <c r="C47"/>
      <c r="D47"/>
      <c r="E47"/>
      <c r="F47"/>
    </row>
    <row r="48" spans="1:6" x14ac:dyDescent="0.25">
      <c r="A48"/>
      <c r="B48"/>
      <c r="C48"/>
      <c r="D48"/>
      <c r="E48"/>
      <c r="F48"/>
    </row>
    <row r="49" spans="1:6" x14ac:dyDescent="0.25">
      <c r="A49"/>
      <c r="B49"/>
      <c r="C49"/>
      <c r="D49"/>
      <c r="E49"/>
      <c r="F49"/>
    </row>
    <row r="50" spans="1:6" x14ac:dyDescent="0.25">
      <c r="A50"/>
      <c r="B50"/>
      <c r="C50"/>
      <c r="D50"/>
      <c r="E50"/>
      <c r="F50"/>
    </row>
    <row r="51" spans="1:6" x14ac:dyDescent="0.25">
      <c r="A51"/>
      <c r="B51"/>
      <c r="C51"/>
      <c r="D51"/>
      <c r="E51"/>
      <c r="F51"/>
    </row>
    <row r="52" spans="1:6" x14ac:dyDescent="0.25">
      <c r="A52"/>
      <c r="B52"/>
      <c r="C52"/>
      <c r="D52"/>
      <c r="E52"/>
      <c r="F52"/>
    </row>
    <row r="53" spans="1:6" x14ac:dyDescent="0.25">
      <c r="A53"/>
      <c r="B53"/>
      <c r="C53"/>
      <c r="D53"/>
      <c r="E53"/>
      <c r="F53"/>
    </row>
    <row r="54" spans="1:6" x14ac:dyDescent="0.25">
      <c r="A54"/>
      <c r="B54"/>
      <c r="C54"/>
      <c r="D54"/>
      <c r="E54"/>
      <c r="F54"/>
    </row>
    <row r="55" spans="1:6" x14ac:dyDescent="0.25">
      <c r="A55"/>
      <c r="B55"/>
      <c r="C55"/>
      <c r="D55"/>
      <c r="E55"/>
      <c r="F55"/>
    </row>
    <row r="56" spans="1:6" x14ac:dyDescent="0.25">
      <c r="A56"/>
      <c r="B56"/>
      <c r="C56"/>
      <c r="D56"/>
      <c r="E56"/>
      <c r="F56"/>
    </row>
    <row r="57" spans="1:6" x14ac:dyDescent="0.25">
      <c r="A57"/>
      <c r="B57"/>
      <c r="C57"/>
      <c r="D57"/>
      <c r="E57"/>
      <c r="F57"/>
    </row>
    <row r="58" spans="1:6" x14ac:dyDescent="0.25">
      <c r="A58"/>
      <c r="B58"/>
      <c r="C58"/>
      <c r="D58"/>
      <c r="E58"/>
      <c r="F58"/>
    </row>
    <row r="59" spans="1:6" x14ac:dyDescent="0.25">
      <c r="A59"/>
      <c r="B59"/>
      <c r="C59"/>
      <c r="D59"/>
      <c r="E59"/>
      <c r="F59"/>
    </row>
    <row r="60" spans="1:6" x14ac:dyDescent="0.25">
      <c r="A60"/>
      <c r="B60"/>
      <c r="C60"/>
      <c r="D60"/>
      <c r="E60"/>
      <c r="F60"/>
    </row>
    <row r="61" spans="1:6" x14ac:dyDescent="0.25">
      <c r="A61"/>
      <c r="B61"/>
      <c r="C61"/>
      <c r="D61"/>
      <c r="E61"/>
      <c r="F61"/>
    </row>
    <row r="62" spans="1:6" x14ac:dyDescent="0.25">
      <c r="A62"/>
      <c r="B62"/>
      <c r="C62"/>
      <c r="D62"/>
      <c r="E62"/>
      <c r="F62"/>
    </row>
    <row r="63" spans="1:6" x14ac:dyDescent="0.25">
      <c r="A63"/>
      <c r="B63"/>
      <c r="C63"/>
      <c r="D63"/>
      <c r="E63"/>
      <c r="F63"/>
    </row>
    <row r="64" spans="1:6" x14ac:dyDescent="0.25">
      <c r="A64"/>
      <c r="B64"/>
      <c r="C64"/>
      <c r="D64"/>
      <c r="E64"/>
      <c r="F64"/>
    </row>
    <row r="65" spans="1:6" x14ac:dyDescent="0.25">
      <c r="A65"/>
      <c r="B65"/>
      <c r="C65"/>
      <c r="D65"/>
      <c r="E65"/>
      <c r="F65"/>
    </row>
    <row r="66" spans="1:6" x14ac:dyDescent="0.25">
      <c r="A66"/>
      <c r="B66"/>
      <c r="C66"/>
      <c r="D66"/>
      <c r="E66"/>
      <c r="F66"/>
    </row>
    <row r="67" spans="1:6" x14ac:dyDescent="0.25">
      <c r="A67"/>
      <c r="B67"/>
      <c r="C67"/>
      <c r="D67"/>
      <c r="E67"/>
      <c r="F67"/>
    </row>
    <row r="68" spans="1:6" x14ac:dyDescent="0.25">
      <c r="A68"/>
      <c r="B68"/>
      <c r="C68"/>
      <c r="D68"/>
      <c r="E68"/>
      <c r="F68"/>
    </row>
    <row r="69" spans="1:6" x14ac:dyDescent="0.25">
      <c r="A69"/>
      <c r="B69"/>
      <c r="C69"/>
      <c r="D69"/>
      <c r="E69"/>
      <c r="F69"/>
    </row>
    <row r="70" spans="1:6" x14ac:dyDescent="0.25">
      <c r="A70"/>
      <c r="B70"/>
      <c r="C70"/>
      <c r="D70"/>
      <c r="E70"/>
      <c r="F70"/>
    </row>
    <row r="71" spans="1:6" x14ac:dyDescent="0.25">
      <c r="A71"/>
      <c r="B71"/>
      <c r="C71"/>
      <c r="D71"/>
      <c r="E71"/>
      <c r="F71"/>
    </row>
    <row r="72" spans="1:6" x14ac:dyDescent="0.25">
      <c r="A72"/>
      <c r="B72"/>
      <c r="C72"/>
      <c r="D72"/>
      <c r="E72"/>
      <c r="F72"/>
    </row>
    <row r="73" spans="1:6" x14ac:dyDescent="0.25">
      <c r="A73"/>
      <c r="B73"/>
      <c r="C73"/>
      <c r="D73"/>
      <c r="E73"/>
      <c r="F73"/>
    </row>
    <row r="74" spans="1:6" x14ac:dyDescent="0.25">
      <c r="A74"/>
      <c r="B74"/>
      <c r="C74"/>
      <c r="D74"/>
      <c r="E74"/>
      <c r="F74"/>
    </row>
    <row r="75" spans="1:6" x14ac:dyDescent="0.25">
      <c r="A75"/>
      <c r="B75"/>
      <c r="C75"/>
      <c r="D75"/>
      <c r="E75"/>
      <c r="F75"/>
    </row>
    <row r="76" spans="1:6" x14ac:dyDescent="0.25">
      <c r="A76"/>
      <c r="B76"/>
      <c r="C76"/>
      <c r="D76"/>
      <c r="E76"/>
      <c r="F76"/>
    </row>
    <row r="77" spans="1:6" x14ac:dyDescent="0.25">
      <c r="A77"/>
      <c r="B77"/>
      <c r="C77"/>
      <c r="D77"/>
      <c r="E77"/>
      <c r="F7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A619-7811-446A-ACED-0DD5C49C68C4}">
  <dimension ref="A3:F17"/>
  <sheetViews>
    <sheetView workbookViewId="0">
      <selection activeCell="A18" sqref="A18"/>
    </sheetView>
  </sheetViews>
  <sheetFormatPr defaultRowHeight="13.2" x14ac:dyDescent="0.25"/>
  <cols>
    <col min="1" max="1" width="13.33203125" bestFit="1" customWidth="1"/>
    <col min="2" max="2" width="16.21875" bestFit="1" customWidth="1"/>
    <col min="3" max="5" width="6" bestFit="1" customWidth="1"/>
    <col min="6" max="6" width="11.33203125" bestFit="1" customWidth="1"/>
  </cols>
  <sheetData>
    <row r="3" spans="1:6" x14ac:dyDescent="0.25">
      <c r="A3" s="4" t="s">
        <v>66</v>
      </c>
      <c r="B3" s="4" t="s">
        <v>50</v>
      </c>
    </row>
    <row r="4" spans="1:6" x14ac:dyDescent="0.25">
      <c r="A4" s="4" t="s">
        <v>47</v>
      </c>
      <c r="B4" t="s">
        <v>5</v>
      </c>
      <c r="C4" t="s">
        <v>7</v>
      </c>
      <c r="D4" t="s">
        <v>8</v>
      </c>
      <c r="E4" t="s">
        <v>9</v>
      </c>
      <c r="F4" t="s">
        <v>48</v>
      </c>
    </row>
    <row r="5" spans="1:6" x14ac:dyDescent="0.25">
      <c r="A5" s="5" t="s">
        <v>54</v>
      </c>
      <c r="B5" s="6">
        <v>8000</v>
      </c>
      <c r="C5" s="6">
        <v>11100</v>
      </c>
      <c r="D5" s="6">
        <v>20400</v>
      </c>
      <c r="E5" s="6">
        <v>16250</v>
      </c>
      <c r="F5" s="6">
        <v>55750</v>
      </c>
    </row>
    <row r="6" spans="1:6" x14ac:dyDescent="0.25">
      <c r="A6" s="5" t="s">
        <v>55</v>
      </c>
      <c r="B6" s="6">
        <v>7400</v>
      </c>
      <c r="C6" s="6">
        <v>16350</v>
      </c>
      <c r="D6" s="6">
        <v>19600</v>
      </c>
      <c r="E6" s="6">
        <v>21250</v>
      </c>
      <c r="F6" s="6">
        <v>64600</v>
      </c>
    </row>
    <row r="7" spans="1:6" x14ac:dyDescent="0.25">
      <c r="A7" s="5" t="s">
        <v>56</v>
      </c>
      <c r="B7" s="6"/>
      <c r="C7" s="6">
        <v>2850</v>
      </c>
      <c r="D7" s="6">
        <v>8800</v>
      </c>
      <c r="E7" s="6"/>
      <c r="F7" s="6">
        <v>11650</v>
      </c>
    </row>
    <row r="8" spans="1:6" x14ac:dyDescent="0.25">
      <c r="A8" s="5" t="s">
        <v>57</v>
      </c>
      <c r="B8" s="6"/>
      <c r="C8" s="6"/>
      <c r="D8" s="6">
        <v>4800</v>
      </c>
      <c r="E8" s="6">
        <v>7250</v>
      </c>
      <c r="F8" s="6">
        <v>12050</v>
      </c>
    </row>
    <row r="9" spans="1:6" x14ac:dyDescent="0.25">
      <c r="A9" s="5" t="s">
        <v>58</v>
      </c>
      <c r="B9" s="6">
        <v>2600</v>
      </c>
      <c r="C9" s="6"/>
      <c r="D9" s="6"/>
      <c r="E9" s="6">
        <v>4000</v>
      </c>
      <c r="F9" s="6">
        <v>6600</v>
      </c>
    </row>
    <row r="10" spans="1:6" x14ac:dyDescent="0.25">
      <c r="A10" s="5" t="s">
        <v>59</v>
      </c>
      <c r="B10" s="6">
        <v>1200</v>
      </c>
      <c r="C10" s="6">
        <v>4950</v>
      </c>
      <c r="D10" s="6"/>
      <c r="E10" s="6"/>
      <c r="F10" s="6">
        <v>6150</v>
      </c>
    </row>
    <row r="11" spans="1:6" x14ac:dyDescent="0.25">
      <c r="A11" s="5" t="s">
        <v>60</v>
      </c>
      <c r="B11" s="6"/>
      <c r="C11" s="6">
        <v>2250</v>
      </c>
      <c r="D11" s="6">
        <v>8600</v>
      </c>
      <c r="E11" s="6"/>
      <c r="F11" s="6">
        <v>10850</v>
      </c>
    </row>
    <row r="12" spans="1:6" x14ac:dyDescent="0.25">
      <c r="A12" s="5" t="s">
        <v>61</v>
      </c>
      <c r="B12" s="6"/>
      <c r="C12" s="6"/>
      <c r="D12" s="6">
        <v>4200</v>
      </c>
      <c r="E12" s="6">
        <v>7250</v>
      </c>
      <c r="F12" s="6">
        <v>11450</v>
      </c>
    </row>
    <row r="13" spans="1:6" x14ac:dyDescent="0.25">
      <c r="A13" s="5" t="s">
        <v>62</v>
      </c>
      <c r="B13" s="6">
        <v>2700</v>
      </c>
      <c r="C13" s="6"/>
      <c r="D13" s="6"/>
      <c r="E13" s="6">
        <v>3500</v>
      </c>
      <c r="F13" s="6">
        <v>6200</v>
      </c>
    </row>
    <row r="14" spans="1:6" x14ac:dyDescent="0.25">
      <c r="A14" s="5" t="s">
        <v>63</v>
      </c>
      <c r="B14" s="6">
        <v>1500</v>
      </c>
      <c r="C14" s="6">
        <v>5250</v>
      </c>
      <c r="D14" s="6"/>
      <c r="E14" s="6"/>
      <c r="F14" s="6">
        <v>6750</v>
      </c>
    </row>
    <row r="15" spans="1:6" x14ac:dyDescent="0.25">
      <c r="A15" s="5" t="s">
        <v>64</v>
      </c>
      <c r="B15" s="6"/>
      <c r="C15" s="6">
        <v>3000</v>
      </c>
      <c r="D15" s="6">
        <v>9200</v>
      </c>
      <c r="E15" s="6"/>
      <c r="F15" s="6">
        <v>12200</v>
      </c>
    </row>
    <row r="16" spans="1:6" x14ac:dyDescent="0.25">
      <c r="A16" s="5" t="s">
        <v>65</v>
      </c>
      <c r="B16" s="6"/>
      <c r="C16" s="6"/>
      <c r="D16" s="6">
        <v>5000</v>
      </c>
      <c r="E16" s="6">
        <v>7750</v>
      </c>
      <c r="F16" s="6">
        <v>12750</v>
      </c>
    </row>
    <row r="17" spans="1:6" x14ac:dyDescent="0.25">
      <c r="A17" s="5" t="s">
        <v>48</v>
      </c>
      <c r="B17" s="6">
        <v>23400</v>
      </c>
      <c r="C17" s="6">
        <v>45750</v>
      </c>
      <c r="D17" s="6">
        <v>80600</v>
      </c>
      <c r="E17" s="6">
        <v>67250</v>
      </c>
      <c r="F17" s="6">
        <v>217000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19D97-7998-4D3D-9DB7-149392B42BCE}">
  <dimension ref="A3:B6"/>
  <sheetViews>
    <sheetView workbookViewId="0">
      <selection activeCell="A3" sqref="A3"/>
    </sheetView>
  </sheetViews>
  <sheetFormatPr defaultRowHeight="13.2" x14ac:dyDescent="0.25"/>
  <cols>
    <col min="1" max="1" width="13.33203125" bestFit="1" customWidth="1"/>
    <col min="2" max="2" width="12.33203125" bestFit="1" customWidth="1"/>
  </cols>
  <sheetData>
    <row r="3" spans="1:2" x14ac:dyDescent="0.25">
      <c r="A3" s="4" t="s">
        <v>47</v>
      </c>
      <c r="B3" t="s">
        <v>66</v>
      </c>
    </row>
    <row r="4" spans="1:2" x14ac:dyDescent="0.25">
      <c r="A4" s="5" t="s">
        <v>6</v>
      </c>
      <c r="B4" s="6">
        <v>117450</v>
      </c>
    </row>
    <row r="5" spans="1:2" x14ac:dyDescent="0.25">
      <c r="A5" s="5" t="s">
        <v>10</v>
      </c>
      <c r="B5" s="6">
        <v>99550</v>
      </c>
    </row>
    <row r="6" spans="1:2" x14ac:dyDescent="0.25">
      <c r="A6" s="5" t="s">
        <v>48</v>
      </c>
      <c r="B6" s="6">
        <v>217000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1869-4883-4C7A-BCD8-C8573C3191BF}">
  <dimension ref="A3:B7"/>
  <sheetViews>
    <sheetView workbookViewId="0">
      <selection activeCell="L9" sqref="L9"/>
    </sheetView>
  </sheetViews>
  <sheetFormatPr defaultRowHeight="13.2" x14ac:dyDescent="0.25"/>
  <cols>
    <col min="1" max="1" width="10.21875" bestFit="1" customWidth="1"/>
    <col min="2" max="2" width="12.33203125" bestFit="1" customWidth="1"/>
  </cols>
  <sheetData>
    <row r="3" spans="1:2" x14ac:dyDescent="0.25">
      <c r="A3" s="4" t="s">
        <v>1</v>
      </c>
      <c r="B3" t="s">
        <v>66</v>
      </c>
    </row>
    <row r="4" spans="1:2" x14ac:dyDescent="0.25">
      <c r="A4" t="s">
        <v>5</v>
      </c>
      <c r="B4" s="6">
        <v>23400</v>
      </c>
    </row>
    <row r="5" spans="1:2" x14ac:dyDescent="0.25">
      <c r="A5" t="s">
        <v>7</v>
      </c>
      <c r="B5" s="6">
        <v>45750</v>
      </c>
    </row>
    <row r="6" spans="1:2" x14ac:dyDescent="0.25">
      <c r="A6" t="s">
        <v>8</v>
      </c>
      <c r="B6" s="6">
        <v>80600</v>
      </c>
    </row>
    <row r="7" spans="1:2" x14ac:dyDescent="0.25">
      <c r="A7" t="s">
        <v>9</v>
      </c>
      <c r="B7" s="6">
        <v>67250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9045A-86CD-4A74-82E9-E58E2CD45DBC}">
  <dimension ref="A3:B7"/>
  <sheetViews>
    <sheetView zoomScale="74" workbookViewId="0">
      <selection activeCell="A3" sqref="A3"/>
    </sheetView>
  </sheetViews>
  <sheetFormatPr defaultRowHeight="13.2" x14ac:dyDescent="0.25"/>
  <cols>
    <col min="1" max="1" width="13.88671875" bestFit="1" customWidth="1"/>
    <col min="2" max="2" width="15.44140625" bestFit="1" customWidth="1"/>
  </cols>
  <sheetData>
    <row r="3" spans="1:2" x14ac:dyDescent="0.25">
      <c r="A3" s="4" t="s">
        <v>47</v>
      </c>
      <c r="B3" t="s">
        <v>69</v>
      </c>
    </row>
    <row r="4" spans="1:2" x14ac:dyDescent="0.25">
      <c r="A4" s="5" t="s">
        <v>54</v>
      </c>
      <c r="B4" s="6">
        <v>16.818181818181817</v>
      </c>
    </row>
    <row r="5" spans="1:2" x14ac:dyDescent="0.25">
      <c r="A5" s="5" t="s">
        <v>55</v>
      </c>
      <c r="B5" s="6">
        <v>17.25</v>
      </c>
    </row>
    <row r="6" spans="1:2" x14ac:dyDescent="0.25">
      <c r="A6" s="5" t="s">
        <v>56</v>
      </c>
      <c r="B6" s="6">
        <v>18.333333333333332</v>
      </c>
    </row>
    <row r="7" spans="1:2" x14ac:dyDescent="0.25">
      <c r="A7" s="5" t="s">
        <v>48</v>
      </c>
      <c r="B7" s="6">
        <v>17.111111111111111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93A7C-1398-47F7-B952-6B34612E2C60}">
  <dimension ref="A3:E10"/>
  <sheetViews>
    <sheetView workbookViewId="0">
      <selection activeCell="A3" sqref="A3"/>
    </sheetView>
  </sheetViews>
  <sheetFormatPr defaultRowHeight="13.2" x14ac:dyDescent="0.25"/>
  <cols>
    <col min="1" max="1" width="13.33203125" bestFit="1" customWidth="1"/>
    <col min="2" max="2" width="16.21875" bestFit="1" customWidth="1"/>
    <col min="3" max="3" width="6.21875" bestFit="1" customWidth="1"/>
    <col min="4" max="4" width="7" bestFit="1" customWidth="1"/>
    <col min="5" max="5" width="11.33203125" bestFit="1" customWidth="1"/>
  </cols>
  <sheetData>
    <row r="3" spans="1:5" x14ac:dyDescent="0.25">
      <c r="A3" s="4" t="s">
        <v>66</v>
      </c>
      <c r="B3" s="4" t="s">
        <v>50</v>
      </c>
    </row>
    <row r="4" spans="1:5" x14ac:dyDescent="0.25">
      <c r="A4" s="4" t="s">
        <v>47</v>
      </c>
      <c r="B4" t="s">
        <v>6</v>
      </c>
      <c r="C4" t="s">
        <v>10</v>
      </c>
      <c r="D4" t="s">
        <v>68</v>
      </c>
      <c r="E4" t="s">
        <v>48</v>
      </c>
    </row>
    <row r="5" spans="1:5" x14ac:dyDescent="0.25">
      <c r="A5" s="5" t="s">
        <v>5</v>
      </c>
      <c r="B5" s="6">
        <v>12600</v>
      </c>
      <c r="C5" s="6">
        <v>10800</v>
      </c>
      <c r="D5" s="6"/>
      <c r="E5" s="6">
        <v>23400</v>
      </c>
    </row>
    <row r="6" spans="1:5" x14ac:dyDescent="0.25">
      <c r="A6" s="5" t="s">
        <v>7</v>
      </c>
      <c r="B6" s="6">
        <v>25650</v>
      </c>
      <c r="C6" s="6">
        <v>20100</v>
      </c>
      <c r="D6" s="6"/>
      <c r="E6" s="6">
        <v>45750</v>
      </c>
    </row>
    <row r="7" spans="1:5" x14ac:dyDescent="0.25">
      <c r="A7" s="5" t="s">
        <v>8</v>
      </c>
      <c r="B7" s="6">
        <v>43200</v>
      </c>
      <c r="C7" s="6">
        <v>37400</v>
      </c>
      <c r="D7" s="6"/>
      <c r="E7" s="6">
        <v>80600</v>
      </c>
    </row>
    <row r="8" spans="1:5" x14ac:dyDescent="0.25">
      <c r="A8" s="5" t="s">
        <v>9</v>
      </c>
      <c r="B8" s="6">
        <v>36000</v>
      </c>
      <c r="C8" s="6">
        <v>31250</v>
      </c>
      <c r="D8" s="6"/>
      <c r="E8" s="6">
        <v>67250</v>
      </c>
    </row>
    <row r="9" spans="1:5" x14ac:dyDescent="0.25">
      <c r="A9" s="5" t="s">
        <v>68</v>
      </c>
      <c r="B9" s="6"/>
      <c r="C9" s="6"/>
      <c r="D9" s="6"/>
      <c r="E9" s="6"/>
    </row>
    <row r="10" spans="1:5" x14ac:dyDescent="0.25">
      <c r="A10" s="5" t="s">
        <v>48</v>
      </c>
      <c r="B10" s="6">
        <v>117450</v>
      </c>
      <c r="C10" s="6">
        <v>99550</v>
      </c>
      <c r="D10" s="6"/>
      <c r="E10" s="6">
        <v>217000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7232-76C8-46F1-8874-F83854FDC258}">
  <dimension ref="A3:D17"/>
  <sheetViews>
    <sheetView workbookViewId="0">
      <selection activeCell="A3" sqref="A3"/>
    </sheetView>
  </sheetViews>
  <sheetFormatPr defaultRowHeight="13.2" x14ac:dyDescent="0.25"/>
  <cols>
    <col min="1" max="1" width="13.33203125" bestFit="1" customWidth="1"/>
    <col min="2" max="2" width="16.21875" bestFit="1" customWidth="1"/>
    <col min="3" max="3" width="6.21875" bestFit="1" customWidth="1"/>
    <col min="4" max="5" width="11.33203125" bestFit="1" customWidth="1"/>
  </cols>
  <sheetData>
    <row r="3" spans="1:4" x14ac:dyDescent="0.25">
      <c r="A3" s="4" t="s">
        <v>66</v>
      </c>
      <c r="B3" s="4" t="s">
        <v>50</v>
      </c>
    </row>
    <row r="4" spans="1:4" x14ac:dyDescent="0.25">
      <c r="A4" s="4" t="s">
        <v>47</v>
      </c>
      <c r="B4" t="s">
        <v>6</v>
      </c>
      <c r="C4" t="s">
        <v>10</v>
      </c>
      <c r="D4" t="s">
        <v>48</v>
      </c>
    </row>
    <row r="5" spans="1:4" x14ac:dyDescent="0.25">
      <c r="A5" s="5" t="s">
        <v>54</v>
      </c>
      <c r="B5" s="6">
        <v>25000</v>
      </c>
      <c r="C5" s="6">
        <v>30750</v>
      </c>
      <c r="D5" s="6">
        <v>55750</v>
      </c>
    </row>
    <row r="6" spans="1:4" x14ac:dyDescent="0.25">
      <c r="A6" s="5" t="s">
        <v>55</v>
      </c>
      <c r="B6" s="6">
        <v>37500</v>
      </c>
      <c r="C6" s="6">
        <v>27100</v>
      </c>
      <c r="D6" s="6">
        <v>64600</v>
      </c>
    </row>
    <row r="7" spans="1:4" x14ac:dyDescent="0.25">
      <c r="A7" s="5" t="s">
        <v>56</v>
      </c>
      <c r="B7" s="6">
        <v>6850</v>
      </c>
      <c r="C7" s="6">
        <v>4800</v>
      </c>
      <c r="D7" s="6">
        <v>11650</v>
      </c>
    </row>
    <row r="8" spans="1:4" x14ac:dyDescent="0.25">
      <c r="A8" s="5" t="s">
        <v>57</v>
      </c>
      <c r="B8" s="6">
        <v>7800</v>
      </c>
      <c r="C8" s="6">
        <v>4250</v>
      </c>
      <c r="D8" s="6">
        <v>12050</v>
      </c>
    </row>
    <row r="9" spans="1:4" x14ac:dyDescent="0.25">
      <c r="A9" s="5" t="s">
        <v>58</v>
      </c>
      <c r="B9" s="6">
        <v>5800</v>
      </c>
      <c r="C9" s="6">
        <v>800</v>
      </c>
      <c r="D9" s="6">
        <v>6600</v>
      </c>
    </row>
    <row r="10" spans="1:4" x14ac:dyDescent="0.25">
      <c r="A10" s="5" t="s">
        <v>59</v>
      </c>
      <c r="B10" s="6">
        <v>3450</v>
      </c>
      <c r="C10" s="6">
        <v>2700</v>
      </c>
      <c r="D10" s="6">
        <v>6150</v>
      </c>
    </row>
    <row r="11" spans="1:4" x14ac:dyDescent="0.25">
      <c r="A11" s="5" t="s">
        <v>60</v>
      </c>
      <c r="B11" s="6">
        <v>5600</v>
      </c>
      <c r="C11" s="6">
        <v>5250</v>
      </c>
      <c r="D11" s="6">
        <v>10850</v>
      </c>
    </row>
    <row r="12" spans="1:4" x14ac:dyDescent="0.25">
      <c r="A12" s="5" t="s">
        <v>61</v>
      </c>
      <c r="B12" s="6">
        <v>5000</v>
      </c>
      <c r="C12" s="6">
        <v>6450</v>
      </c>
      <c r="D12" s="6">
        <v>11450</v>
      </c>
    </row>
    <row r="13" spans="1:4" x14ac:dyDescent="0.25">
      <c r="A13" s="5" t="s">
        <v>62</v>
      </c>
      <c r="B13" s="6">
        <v>1100</v>
      </c>
      <c r="C13" s="6">
        <v>5100</v>
      </c>
      <c r="D13" s="6">
        <v>6200</v>
      </c>
    </row>
    <row r="14" spans="1:4" x14ac:dyDescent="0.25">
      <c r="A14" s="5" t="s">
        <v>63</v>
      </c>
      <c r="B14" s="6">
        <v>3900</v>
      </c>
      <c r="C14" s="6">
        <v>2850</v>
      </c>
      <c r="D14" s="6">
        <v>6750</v>
      </c>
    </row>
    <row r="15" spans="1:4" x14ac:dyDescent="0.25">
      <c r="A15" s="5" t="s">
        <v>64</v>
      </c>
      <c r="B15" s="6">
        <v>7200</v>
      </c>
      <c r="C15" s="6">
        <v>5000</v>
      </c>
      <c r="D15" s="6">
        <v>12200</v>
      </c>
    </row>
    <row r="16" spans="1:4" x14ac:dyDescent="0.25">
      <c r="A16" s="5" t="s">
        <v>65</v>
      </c>
      <c r="B16" s="6">
        <v>8250</v>
      </c>
      <c r="C16" s="6">
        <v>4500</v>
      </c>
      <c r="D16" s="6">
        <v>12750</v>
      </c>
    </row>
    <row r="17" spans="1:4" x14ac:dyDescent="0.25">
      <c r="A17" s="5" t="s">
        <v>48</v>
      </c>
      <c r="B17" s="6">
        <v>117450</v>
      </c>
      <c r="C17" s="6">
        <v>99550</v>
      </c>
      <c r="D17" s="6">
        <v>217000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4F24-CC89-4062-805A-EB31F8A45B51}">
  <dimension ref="A3:B6"/>
  <sheetViews>
    <sheetView workbookViewId="0">
      <selection activeCell="A6" sqref="A6:B6"/>
    </sheetView>
  </sheetViews>
  <sheetFormatPr defaultRowHeight="13.2" x14ac:dyDescent="0.25"/>
  <cols>
    <col min="1" max="1" width="13.33203125" bestFit="1" customWidth="1"/>
    <col min="2" max="2" width="12.109375" bestFit="1" customWidth="1"/>
  </cols>
  <sheetData>
    <row r="3" spans="1:2" x14ac:dyDescent="0.25">
      <c r="A3" s="4" t="s">
        <v>47</v>
      </c>
      <c r="B3" t="s">
        <v>51</v>
      </c>
    </row>
    <row r="4" spans="1:2" x14ac:dyDescent="0.25">
      <c r="A4" s="5" t="s">
        <v>6</v>
      </c>
      <c r="B4" s="6">
        <v>630</v>
      </c>
    </row>
    <row r="5" spans="1:2" x14ac:dyDescent="0.25">
      <c r="A5" s="5" t="s">
        <v>10</v>
      </c>
      <c r="B5" s="6">
        <v>630</v>
      </c>
    </row>
    <row r="6" spans="1:2" x14ac:dyDescent="0.25">
      <c r="A6" s="5" t="s">
        <v>48</v>
      </c>
      <c r="B6" s="6">
        <v>1260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85E7-7083-4DFA-8A35-46A22C397C3D}">
  <dimension ref="A3:B6"/>
  <sheetViews>
    <sheetView workbookViewId="0">
      <selection activeCell="A3" sqref="A3"/>
    </sheetView>
  </sheetViews>
  <sheetFormatPr defaultRowHeight="13.2" x14ac:dyDescent="0.25"/>
  <cols>
    <col min="1" max="1" width="13.33203125" bestFit="1" customWidth="1"/>
    <col min="2" max="2" width="12.33203125" bestFit="1" customWidth="1"/>
  </cols>
  <sheetData>
    <row r="3" spans="1:2" x14ac:dyDescent="0.25">
      <c r="A3" s="4" t="s">
        <v>47</v>
      </c>
      <c r="B3" t="s">
        <v>66</v>
      </c>
    </row>
    <row r="4" spans="1:2" x14ac:dyDescent="0.25">
      <c r="A4" s="5" t="s">
        <v>6</v>
      </c>
      <c r="B4" s="6">
        <v>117450</v>
      </c>
    </row>
    <row r="5" spans="1:2" x14ac:dyDescent="0.25">
      <c r="A5" s="5" t="s">
        <v>10</v>
      </c>
      <c r="B5" s="6">
        <v>99550</v>
      </c>
    </row>
    <row r="6" spans="1:2" x14ac:dyDescent="0.25">
      <c r="A6" s="5" t="s">
        <v>48</v>
      </c>
      <c r="B6" s="6">
        <v>217000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73"/>
  <sheetViews>
    <sheetView workbookViewId="0">
      <selection sqref="A1:G1048576"/>
    </sheetView>
  </sheetViews>
  <sheetFormatPr defaultColWidth="12.6640625" defaultRowHeight="15.75" customHeight="1" x14ac:dyDescent="0.25"/>
  <sheetData>
    <row r="1" spans="1:7" x14ac:dyDescent="0.25">
      <c r="A1" s="1" t="s">
        <v>0</v>
      </c>
      <c r="B1" s="11" t="s">
        <v>52</v>
      </c>
      <c r="C1" s="1" t="s">
        <v>1</v>
      </c>
      <c r="D1" s="1" t="s">
        <v>2</v>
      </c>
      <c r="E1" s="1" t="s">
        <v>3</v>
      </c>
      <c r="F1" s="1" t="s">
        <v>4</v>
      </c>
      <c r="G1" s="11" t="s">
        <v>53</v>
      </c>
    </row>
    <row r="2" spans="1:7" x14ac:dyDescent="0.25">
      <c r="A2" s="2">
        <v>45292</v>
      </c>
      <c r="B2" s="2" t="str">
        <f>TEXT(A2,"mmmm")</f>
        <v>January</v>
      </c>
      <c r="C2" s="1" t="s">
        <v>5</v>
      </c>
      <c r="D2" s="3">
        <v>100</v>
      </c>
      <c r="E2" s="3">
        <v>10</v>
      </c>
      <c r="F2" s="1" t="s">
        <v>6</v>
      </c>
      <c r="G2">
        <f>D2*E2</f>
        <v>1000</v>
      </c>
    </row>
    <row r="3" spans="1:7" x14ac:dyDescent="0.25">
      <c r="A3" s="2">
        <v>45323</v>
      </c>
      <c r="B3" s="2" t="str">
        <f t="shared" ref="B3:B66" si="0">TEXT(A3,"mmmm")</f>
        <v>February</v>
      </c>
      <c r="C3" s="1" t="s">
        <v>7</v>
      </c>
      <c r="D3" s="3">
        <v>150</v>
      </c>
      <c r="E3" s="3">
        <v>15</v>
      </c>
      <c r="F3" s="1" t="s">
        <v>6</v>
      </c>
      <c r="G3">
        <f t="shared" ref="G3:G66" si="1">D3*E3</f>
        <v>2250</v>
      </c>
    </row>
    <row r="4" spans="1:7" x14ac:dyDescent="0.25">
      <c r="A4" s="2">
        <v>45352</v>
      </c>
      <c r="B4" s="2" t="str">
        <f t="shared" si="0"/>
        <v>March</v>
      </c>
      <c r="C4" s="1" t="s">
        <v>8</v>
      </c>
      <c r="D4" s="3">
        <v>200</v>
      </c>
      <c r="E4" s="3">
        <v>20</v>
      </c>
      <c r="F4" s="1" t="s">
        <v>6</v>
      </c>
      <c r="G4">
        <f t="shared" si="1"/>
        <v>4000</v>
      </c>
    </row>
    <row r="5" spans="1:7" x14ac:dyDescent="0.25">
      <c r="A5" s="2">
        <v>45383</v>
      </c>
      <c r="B5" s="2" t="str">
        <f t="shared" si="0"/>
        <v>April</v>
      </c>
      <c r="C5" s="1" t="s">
        <v>9</v>
      </c>
      <c r="D5" s="3">
        <v>120</v>
      </c>
      <c r="E5" s="3">
        <v>25</v>
      </c>
      <c r="F5" s="1" t="s">
        <v>6</v>
      </c>
      <c r="G5">
        <f t="shared" si="1"/>
        <v>3000</v>
      </c>
    </row>
    <row r="6" spans="1:7" x14ac:dyDescent="0.25">
      <c r="A6" s="2">
        <v>45413</v>
      </c>
      <c r="B6" s="2" t="str">
        <f t="shared" si="0"/>
        <v>May</v>
      </c>
      <c r="C6" s="1" t="s">
        <v>5</v>
      </c>
      <c r="D6" s="3">
        <v>80</v>
      </c>
      <c r="E6" s="3">
        <v>10</v>
      </c>
      <c r="F6" s="1" t="s">
        <v>10</v>
      </c>
      <c r="G6">
        <f t="shared" si="1"/>
        <v>800</v>
      </c>
    </row>
    <row r="7" spans="1:7" x14ac:dyDescent="0.25">
      <c r="A7" s="2">
        <v>45444</v>
      </c>
      <c r="B7" s="2" t="str">
        <f t="shared" si="0"/>
        <v>June</v>
      </c>
      <c r="C7" s="1" t="s">
        <v>7</v>
      </c>
      <c r="D7" s="3">
        <v>100</v>
      </c>
      <c r="E7" s="3">
        <v>15</v>
      </c>
      <c r="F7" s="1" t="s">
        <v>10</v>
      </c>
      <c r="G7">
        <f t="shared" si="1"/>
        <v>1500</v>
      </c>
    </row>
    <row r="8" spans="1:7" x14ac:dyDescent="0.25">
      <c r="A8" s="2">
        <v>45474</v>
      </c>
      <c r="B8" s="2" t="str">
        <f t="shared" si="0"/>
        <v>July</v>
      </c>
      <c r="C8" s="1" t="s">
        <v>8</v>
      </c>
      <c r="D8" s="3">
        <v>150</v>
      </c>
      <c r="E8" s="3">
        <v>20</v>
      </c>
      <c r="F8" s="1" t="s">
        <v>10</v>
      </c>
      <c r="G8">
        <f t="shared" si="1"/>
        <v>3000</v>
      </c>
    </row>
    <row r="9" spans="1:7" x14ac:dyDescent="0.25">
      <c r="A9" s="2">
        <v>45505</v>
      </c>
      <c r="B9" s="2" t="str">
        <f t="shared" si="0"/>
        <v>August</v>
      </c>
      <c r="C9" s="1" t="s">
        <v>9</v>
      </c>
      <c r="D9" s="3">
        <v>90</v>
      </c>
      <c r="E9" s="3">
        <v>25</v>
      </c>
      <c r="F9" s="1" t="s">
        <v>10</v>
      </c>
      <c r="G9">
        <f t="shared" si="1"/>
        <v>2250</v>
      </c>
    </row>
    <row r="10" spans="1:7" x14ac:dyDescent="0.25">
      <c r="A10" s="2">
        <v>45536</v>
      </c>
      <c r="B10" s="2" t="str">
        <f t="shared" si="0"/>
        <v>September</v>
      </c>
      <c r="C10" s="1" t="s">
        <v>5</v>
      </c>
      <c r="D10" s="3">
        <v>110</v>
      </c>
      <c r="E10" s="3">
        <v>10</v>
      </c>
      <c r="F10" s="1" t="s">
        <v>6</v>
      </c>
      <c r="G10">
        <f t="shared" si="1"/>
        <v>1100</v>
      </c>
    </row>
    <row r="11" spans="1:7" x14ac:dyDescent="0.25">
      <c r="A11" s="2">
        <v>45566</v>
      </c>
      <c r="B11" s="2" t="str">
        <f t="shared" si="0"/>
        <v>October</v>
      </c>
      <c r="C11" s="1" t="s">
        <v>7</v>
      </c>
      <c r="D11" s="3">
        <v>160</v>
      </c>
      <c r="E11" s="3">
        <v>15</v>
      </c>
      <c r="F11" s="1" t="s">
        <v>6</v>
      </c>
      <c r="G11">
        <f t="shared" si="1"/>
        <v>2400</v>
      </c>
    </row>
    <row r="12" spans="1:7" x14ac:dyDescent="0.25">
      <c r="A12" s="2">
        <v>45597</v>
      </c>
      <c r="B12" s="2" t="str">
        <f t="shared" si="0"/>
        <v>November</v>
      </c>
      <c r="C12" s="1" t="s">
        <v>8</v>
      </c>
      <c r="D12" s="3">
        <v>210</v>
      </c>
      <c r="E12" s="3">
        <v>20</v>
      </c>
      <c r="F12" s="1" t="s">
        <v>6</v>
      </c>
      <c r="G12">
        <f t="shared" si="1"/>
        <v>4200</v>
      </c>
    </row>
    <row r="13" spans="1:7" x14ac:dyDescent="0.25">
      <c r="A13" s="2">
        <v>45627</v>
      </c>
      <c r="B13" s="2" t="str">
        <f t="shared" si="0"/>
        <v>December</v>
      </c>
      <c r="C13" s="1" t="s">
        <v>9</v>
      </c>
      <c r="D13" s="3">
        <v>130</v>
      </c>
      <c r="E13" s="3">
        <v>25</v>
      </c>
      <c r="F13" s="1" t="s">
        <v>6</v>
      </c>
      <c r="G13">
        <f t="shared" si="1"/>
        <v>3250</v>
      </c>
    </row>
    <row r="14" spans="1:7" x14ac:dyDescent="0.25">
      <c r="A14" s="3" t="s">
        <v>11</v>
      </c>
      <c r="B14" s="2" t="str">
        <f t="shared" si="0"/>
        <v>January</v>
      </c>
      <c r="C14" s="1" t="s">
        <v>5</v>
      </c>
      <c r="D14" s="3">
        <v>90</v>
      </c>
      <c r="E14" s="3">
        <v>10</v>
      </c>
      <c r="F14" s="1" t="s">
        <v>10</v>
      </c>
      <c r="G14">
        <f t="shared" si="1"/>
        <v>900</v>
      </c>
    </row>
    <row r="15" spans="1:7" x14ac:dyDescent="0.25">
      <c r="A15" s="3" t="s">
        <v>12</v>
      </c>
      <c r="B15" s="2" t="str">
        <f t="shared" si="0"/>
        <v>January</v>
      </c>
      <c r="C15" s="1" t="s">
        <v>7</v>
      </c>
      <c r="D15" s="3">
        <v>120</v>
      </c>
      <c r="E15" s="3">
        <v>15</v>
      </c>
      <c r="F15" s="1" t="s">
        <v>10</v>
      </c>
      <c r="G15">
        <f t="shared" si="1"/>
        <v>1800</v>
      </c>
    </row>
    <row r="16" spans="1:7" x14ac:dyDescent="0.25">
      <c r="A16" s="3" t="s">
        <v>13</v>
      </c>
      <c r="B16" s="2" t="str">
        <f t="shared" si="0"/>
        <v>January</v>
      </c>
      <c r="C16" s="1" t="s">
        <v>8</v>
      </c>
      <c r="D16" s="3">
        <v>180</v>
      </c>
      <c r="E16" s="3">
        <v>20</v>
      </c>
      <c r="F16" s="1" t="s">
        <v>10</v>
      </c>
      <c r="G16">
        <f t="shared" si="1"/>
        <v>3600</v>
      </c>
    </row>
    <row r="17" spans="1:7" x14ac:dyDescent="0.25">
      <c r="A17" s="3" t="s">
        <v>14</v>
      </c>
      <c r="B17" s="2" t="str">
        <f t="shared" si="0"/>
        <v>January</v>
      </c>
      <c r="C17" s="1" t="s">
        <v>9</v>
      </c>
      <c r="D17" s="3">
        <v>110</v>
      </c>
      <c r="E17" s="3">
        <v>25</v>
      </c>
      <c r="F17" s="1" t="s">
        <v>10</v>
      </c>
      <c r="G17">
        <f t="shared" si="1"/>
        <v>2750</v>
      </c>
    </row>
    <row r="18" spans="1:7" x14ac:dyDescent="0.25">
      <c r="A18" s="3" t="s">
        <v>15</v>
      </c>
      <c r="B18" s="2" t="str">
        <f t="shared" si="0"/>
        <v>January</v>
      </c>
      <c r="C18" s="1" t="s">
        <v>5</v>
      </c>
      <c r="D18" s="3">
        <v>120</v>
      </c>
      <c r="E18" s="3">
        <v>10</v>
      </c>
      <c r="F18" s="1" t="s">
        <v>6</v>
      </c>
      <c r="G18">
        <f t="shared" si="1"/>
        <v>1200</v>
      </c>
    </row>
    <row r="19" spans="1:7" x14ac:dyDescent="0.25">
      <c r="A19" s="3" t="s">
        <v>16</v>
      </c>
      <c r="B19" s="2" t="str">
        <f t="shared" si="0"/>
        <v>January</v>
      </c>
      <c r="C19" s="1" t="s">
        <v>7</v>
      </c>
      <c r="D19" s="3">
        <v>170</v>
      </c>
      <c r="E19" s="3">
        <v>15</v>
      </c>
      <c r="F19" s="1" t="s">
        <v>6</v>
      </c>
      <c r="G19">
        <f t="shared" si="1"/>
        <v>2550</v>
      </c>
    </row>
    <row r="20" spans="1:7" x14ac:dyDescent="0.25">
      <c r="A20" s="3" t="s">
        <v>17</v>
      </c>
      <c r="B20" s="2" t="str">
        <f t="shared" si="0"/>
        <v>January</v>
      </c>
      <c r="C20" s="1" t="s">
        <v>8</v>
      </c>
      <c r="D20" s="3">
        <v>220</v>
      </c>
      <c r="E20" s="3">
        <v>20</v>
      </c>
      <c r="F20" s="1" t="s">
        <v>6</v>
      </c>
      <c r="G20">
        <f t="shared" si="1"/>
        <v>4400</v>
      </c>
    </row>
    <row r="21" spans="1:7" x14ac:dyDescent="0.25">
      <c r="A21" s="3" t="s">
        <v>18</v>
      </c>
      <c r="B21" s="2" t="str">
        <f t="shared" si="0"/>
        <v>January</v>
      </c>
      <c r="C21" s="1" t="s">
        <v>9</v>
      </c>
      <c r="D21" s="3">
        <v>140</v>
      </c>
      <c r="E21" s="3">
        <v>25</v>
      </c>
      <c r="F21" s="1" t="s">
        <v>6</v>
      </c>
      <c r="G21">
        <f t="shared" si="1"/>
        <v>3500</v>
      </c>
    </row>
    <row r="22" spans="1:7" x14ac:dyDescent="0.25">
      <c r="A22" s="3" t="s">
        <v>19</v>
      </c>
      <c r="B22" s="2" t="str">
        <f t="shared" si="0"/>
        <v>January</v>
      </c>
      <c r="C22" s="1" t="s">
        <v>5</v>
      </c>
      <c r="D22" s="3">
        <v>100</v>
      </c>
      <c r="E22" s="3">
        <v>10</v>
      </c>
      <c r="F22" s="1" t="s">
        <v>10</v>
      </c>
      <c r="G22">
        <f t="shared" si="1"/>
        <v>1000</v>
      </c>
    </row>
    <row r="23" spans="1:7" x14ac:dyDescent="0.25">
      <c r="A23" s="3" t="s">
        <v>20</v>
      </c>
      <c r="B23" s="2" t="str">
        <f t="shared" si="0"/>
        <v>January</v>
      </c>
      <c r="C23" s="1" t="s">
        <v>7</v>
      </c>
      <c r="D23" s="3">
        <v>130</v>
      </c>
      <c r="E23" s="3">
        <v>15</v>
      </c>
      <c r="F23" s="1" t="s">
        <v>10</v>
      </c>
      <c r="G23">
        <f t="shared" si="1"/>
        <v>1950</v>
      </c>
    </row>
    <row r="24" spans="1:7" x14ac:dyDescent="0.25">
      <c r="A24" s="3" t="s">
        <v>21</v>
      </c>
      <c r="B24" s="2" t="str">
        <f t="shared" si="0"/>
        <v>January</v>
      </c>
      <c r="C24" s="1" t="s">
        <v>8</v>
      </c>
      <c r="D24" s="3">
        <v>190</v>
      </c>
      <c r="E24" s="3">
        <v>20</v>
      </c>
      <c r="F24" s="1" t="s">
        <v>10</v>
      </c>
      <c r="G24">
        <f t="shared" si="1"/>
        <v>3800</v>
      </c>
    </row>
    <row r="25" spans="1:7" x14ac:dyDescent="0.25">
      <c r="A25" s="3" t="s">
        <v>22</v>
      </c>
      <c r="B25" s="2" t="str">
        <f t="shared" si="0"/>
        <v>January</v>
      </c>
      <c r="C25" s="1" t="s">
        <v>9</v>
      </c>
      <c r="D25" s="3">
        <v>120</v>
      </c>
      <c r="E25" s="3">
        <v>25</v>
      </c>
      <c r="F25" s="1" t="s">
        <v>10</v>
      </c>
      <c r="G25">
        <f t="shared" si="1"/>
        <v>3000</v>
      </c>
    </row>
    <row r="26" spans="1:7" x14ac:dyDescent="0.25">
      <c r="A26" s="3" t="s">
        <v>23</v>
      </c>
      <c r="B26" s="2" t="str">
        <f t="shared" si="0"/>
        <v>January</v>
      </c>
      <c r="C26" s="1" t="s">
        <v>5</v>
      </c>
      <c r="D26" s="3">
        <v>130</v>
      </c>
      <c r="E26" s="3">
        <v>10</v>
      </c>
      <c r="F26" s="1" t="s">
        <v>6</v>
      </c>
      <c r="G26">
        <f t="shared" si="1"/>
        <v>1300</v>
      </c>
    </row>
    <row r="27" spans="1:7" x14ac:dyDescent="0.25">
      <c r="A27" s="3" t="s">
        <v>24</v>
      </c>
      <c r="B27" s="2" t="str">
        <f t="shared" si="0"/>
        <v>January</v>
      </c>
      <c r="C27" s="1" t="s">
        <v>7</v>
      </c>
      <c r="D27" s="3">
        <v>180</v>
      </c>
      <c r="E27" s="3">
        <v>15</v>
      </c>
      <c r="F27" s="1" t="s">
        <v>6</v>
      </c>
      <c r="G27">
        <f t="shared" si="1"/>
        <v>2700</v>
      </c>
    </row>
    <row r="28" spans="1:7" x14ac:dyDescent="0.25">
      <c r="A28" s="3" t="s">
        <v>25</v>
      </c>
      <c r="B28" s="2" t="str">
        <f t="shared" si="0"/>
        <v>January</v>
      </c>
      <c r="C28" s="1" t="s">
        <v>8</v>
      </c>
      <c r="D28" s="3">
        <v>230</v>
      </c>
      <c r="E28" s="3">
        <v>20</v>
      </c>
      <c r="F28" s="1" t="s">
        <v>6</v>
      </c>
      <c r="G28">
        <f t="shared" si="1"/>
        <v>4600</v>
      </c>
    </row>
    <row r="29" spans="1:7" x14ac:dyDescent="0.25">
      <c r="A29" s="3" t="s">
        <v>26</v>
      </c>
      <c r="B29" s="2" t="str">
        <f t="shared" si="0"/>
        <v>January</v>
      </c>
      <c r="C29" s="1" t="s">
        <v>9</v>
      </c>
      <c r="D29" s="3">
        <v>150</v>
      </c>
      <c r="E29" s="3">
        <v>25</v>
      </c>
      <c r="F29" s="1" t="s">
        <v>6</v>
      </c>
      <c r="G29">
        <f t="shared" si="1"/>
        <v>3750</v>
      </c>
    </row>
    <row r="30" spans="1:7" x14ac:dyDescent="0.25">
      <c r="A30" s="3" t="s">
        <v>27</v>
      </c>
      <c r="B30" s="2" t="str">
        <f t="shared" si="0"/>
        <v>January</v>
      </c>
      <c r="C30" s="1" t="s">
        <v>5</v>
      </c>
      <c r="D30" s="3">
        <v>110</v>
      </c>
      <c r="E30" s="3">
        <v>10</v>
      </c>
      <c r="F30" s="1" t="s">
        <v>10</v>
      </c>
      <c r="G30">
        <f t="shared" si="1"/>
        <v>1100</v>
      </c>
    </row>
    <row r="31" spans="1:7" x14ac:dyDescent="0.25">
      <c r="A31" s="3" t="s">
        <v>28</v>
      </c>
      <c r="B31" s="2" t="str">
        <f t="shared" si="0"/>
        <v>January</v>
      </c>
      <c r="C31" s="1" t="s">
        <v>7</v>
      </c>
      <c r="D31" s="3">
        <v>140</v>
      </c>
      <c r="E31" s="3">
        <v>15</v>
      </c>
      <c r="F31" s="1" t="s">
        <v>10</v>
      </c>
      <c r="G31">
        <f t="shared" si="1"/>
        <v>2100</v>
      </c>
    </row>
    <row r="32" spans="1:7" x14ac:dyDescent="0.25">
      <c r="A32" s="3" t="s">
        <v>29</v>
      </c>
      <c r="B32" s="2" t="str">
        <f t="shared" si="0"/>
        <v>January</v>
      </c>
      <c r="C32" s="1" t="s">
        <v>8</v>
      </c>
      <c r="D32" s="3">
        <v>200</v>
      </c>
      <c r="E32" s="3">
        <v>20</v>
      </c>
      <c r="F32" s="1" t="s">
        <v>10</v>
      </c>
      <c r="G32">
        <f t="shared" si="1"/>
        <v>4000</v>
      </c>
    </row>
    <row r="33" spans="1:7" x14ac:dyDescent="0.25">
      <c r="A33" s="2">
        <v>45293</v>
      </c>
      <c r="B33" s="2" t="str">
        <f t="shared" si="0"/>
        <v>January</v>
      </c>
      <c r="C33" s="1" t="s">
        <v>9</v>
      </c>
      <c r="D33" s="3">
        <v>130</v>
      </c>
      <c r="E33" s="3">
        <v>25</v>
      </c>
      <c r="F33" s="1" t="s">
        <v>10</v>
      </c>
      <c r="G33">
        <f t="shared" si="1"/>
        <v>3250</v>
      </c>
    </row>
    <row r="34" spans="1:7" x14ac:dyDescent="0.25">
      <c r="A34" s="2">
        <v>45324</v>
      </c>
      <c r="B34" s="2" t="str">
        <f t="shared" si="0"/>
        <v>February</v>
      </c>
      <c r="C34" s="1" t="s">
        <v>5</v>
      </c>
      <c r="D34" s="3">
        <v>140</v>
      </c>
      <c r="E34" s="3">
        <v>10</v>
      </c>
      <c r="F34" s="1" t="s">
        <v>6</v>
      </c>
      <c r="G34">
        <f t="shared" si="1"/>
        <v>1400</v>
      </c>
    </row>
    <row r="35" spans="1:7" x14ac:dyDescent="0.25">
      <c r="A35" s="2">
        <v>45353</v>
      </c>
      <c r="B35" s="2" t="str">
        <f t="shared" si="0"/>
        <v>March</v>
      </c>
      <c r="C35" s="1" t="s">
        <v>7</v>
      </c>
      <c r="D35" s="3">
        <v>190</v>
      </c>
      <c r="E35" s="3">
        <v>15</v>
      </c>
      <c r="F35" s="1" t="s">
        <v>6</v>
      </c>
      <c r="G35">
        <f t="shared" si="1"/>
        <v>2850</v>
      </c>
    </row>
    <row r="36" spans="1:7" x14ac:dyDescent="0.25">
      <c r="A36" s="2">
        <v>45384</v>
      </c>
      <c r="B36" s="2" t="str">
        <f t="shared" si="0"/>
        <v>April</v>
      </c>
      <c r="C36" s="1" t="s">
        <v>8</v>
      </c>
      <c r="D36" s="3">
        <v>240</v>
      </c>
      <c r="E36" s="3">
        <v>20</v>
      </c>
      <c r="F36" s="1" t="s">
        <v>6</v>
      </c>
      <c r="G36">
        <f t="shared" si="1"/>
        <v>4800</v>
      </c>
    </row>
    <row r="37" spans="1:7" x14ac:dyDescent="0.25">
      <c r="A37" s="2">
        <v>45414</v>
      </c>
      <c r="B37" s="2" t="str">
        <f t="shared" si="0"/>
        <v>May</v>
      </c>
      <c r="C37" s="1" t="s">
        <v>9</v>
      </c>
      <c r="D37" s="3">
        <v>160</v>
      </c>
      <c r="E37" s="3">
        <v>25</v>
      </c>
      <c r="F37" s="1" t="s">
        <v>6</v>
      </c>
      <c r="G37">
        <f t="shared" si="1"/>
        <v>4000</v>
      </c>
    </row>
    <row r="38" spans="1:7" x14ac:dyDescent="0.25">
      <c r="A38" s="2">
        <v>45445</v>
      </c>
      <c r="B38" s="2" t="str">
        <f t="shared" si="0"/>
        <v>June</v>
      </c>
      <c r="C38" s="1" t="s">
        <v>5</v>
      </c>
      <c r="D38" s="3">
        <v>120</v>
      </c>
      <c r="E38" s="3">
        <v>10</v>
      </c>
      <c r="F38" s="1" t="s">
        <v>10</v>
      </c>
      <c r="G38">
        <f t="shared" si="1"/>
        <v>1200</v>
      </c>
    </row>
    <row r="39" spans="1:7" x14ac:dyDescent="0.25">
      <c r="A39" s="2">
        <v>45475</v>
      </c>
      <c r="B39" s="2" t="str">
        <f t="shared" si="0"/>
        <v>July</v>
      </c>
      <c r="C39" s="1" t="s">
        <v>7</v>
      </c>
      <c r="D39" s="3">
        <v>150</v>
      </c>
      <c r="E39" s="3">
        <v>15</v>
      </c>
      <c r="F39" s="1" t="s">
        <v>10</v>
      </c>
      <c r="G39">
        <f t="shared" si="1"/>
        <v>2250</v>
      </c>
    </row>
    <row r="40" spans="1:7" x14ac:dyDescent="0.25">
      <c r="A40" s="2">
        <v>45506</v>
      </c>
      <c r="B40" s="2" t="str">
        <f t="shared" si="0"/>
        <v>August</v>
      </c>
      <c r="C40" s="1" t="s">
        <v>8</v>
      </c>
      <c r="D40" s="3">
        <v>210</v>
      </c>
      <c r="E40" s="3">
        <v>20</v>
      </c>
      <c r="F40" s="1" t="s">
        <v>10</v>
      </c>
      <c r="G40">
        <f t="shared" si="1"/>
        <v>4200</v>
      </c>
    </row>
    <row r="41" spans="1:7" x14ac:dyDescent="0.25">
      <c r="A41" s="2">
        <v>45537</v>
      </c>
      <c r="B41" s="2" t="str">
        <f t="shared" si="0"/>
        <v>September</v>
      </c>
      <c r="C41" s="1" t="s">
        <v>9</v>
      </c>
      <c r="D41" s="3">
        <v>140</v>
      </c>
      <c r="E41" s="3">
        <v>25</v>
      </c>
      <c r="F41" s="1" t="s">
        <v>10</v>
      </c>
      <c r="G41">
        <f t="shared" si="1"/>
        <v>3500</v>
      </c>
    </row>
    <row r="42" spans="1:7" x14ac:dyDescent="0.25">
      <c r="A42" s="2">
        <v>45567</v>
      </c>
      <c r="B42" s="2" t="str">
        <f t="shared" si="0"/>
        <v>October</v>
      </c>
      <c r="C42" s="1" t="s">
        <v>5</v>
      </c>
      <c r="D42" s="3">
        <v>150</v>
      </c>
      <c r="E42" s="3">
        <v>10</v>
      </c>
      <c r="F42" s="1" t="s">
        <v>6</v>
      </c>
      <c r="G42">
        <f t="shared" si="1"/>
        <v>1500</v>
      </c>
    </row>
    <row r="43" spans="1:7" x14ac:dyDescent="0.25">
      <c r="A43" s="2">
        <v>45598</v>
      </c>
      <c r="B43" s="2" t="str">
        <f t="shared" si="0"/>
        <v>November</v>
      </c>
      <c r="C43" s="1" t="s">
        <v>7</v>
      </c>
      <c r="D43" s="3">
        <v>200</v>
      </c>
      <c r="E43" s="3">
        <v>15</v>
      </c>
      <c r="F43" s="1" t="s">
        <v>6</v>
      </c>
      <c r="G43">
        <f t="shared" si="1"/>
        <v>3000</v>
      </c>
    </row>
    <row r="44" spans="1:7" x14ac:dyDescent="0.25">
      <c r="A44" s="2">
        <v>45628</v>
      </c>
      <c r="B44" s="2" t="str">
        <f t="shared" si="0"/>
        <v>December</v>
      </c>
      <c r="C44" s="1" t="s">
        <v>8</v>
      </c>
      <c r="D44" s="3">
        <v>250</v>
      </c>
      <c r="E44" s="3">
        <v>20</v>
      </c>
      <c r="F44" s="1" t="s">
        <v>6</v>
      </c>
      <c r="G44">
        <f t="shared" si="1"/>
        <v>5000</v>
      </c>
    </row>
    <row r="45" spans="1:7" x14ac:dyDescent="0.25">
      <c r="A45" s="3" t="s">
        <v>30</v>
      </c>
      <c r="B45" s="2" t="str">
        <f t="shared" si="0"/>
        <v>February</v>
      </c>
      <c r="C45" s="1" t="s">
        <v>9</v>
      </c>
      <c r="D45" s="3">
        <v>170</v>
      </c>
      <c r="E45" s="3">
        <v>25</v>
      </c>
      <c r="F45" s="1" t="s">
        <v>6</v>
      </c>
      <c r="G45">
        <f t="shared" si="1"/>
        <v>4250</v>
      </c>
    </row>
    <row r="46" spans="1:7" x14ac:dyDescent="0.25">
      <c r="A46" s="3" t="s">
        <v>31</v>
      </c>
      <c r="B46" s="2" t="str">
        <f t="shared" si="0"/>
        <v>February</v>
      </c>
      <c r="C46" s="1" t="s">
        <v>5</v>
      </c>
      <c r="D46" s="3">
        <v>130</v>
      </c>
      <c r="E46" s="3">
        <v>10</v>
      </c>
      <c r="F46" s="1" t="s">
        <v>10</v>
      </c>
      <c r="G46">
        <f t="shared" si="1"/>
        <v>1300</v>
      </c>
    </row>
    <row r="47" spans="1:7" x14ac:dyDescent="0.25">
      <c r="A47" s="3" t="s">
        <v>32</v>
      </c>
      <c r="B47" s="2" t="str">
        <f t="shared" si="0"/>
        <v>February</v>
      </c>
      <c r="C47" s="1" t="s">
        <v>7</v>
      </c>
      <c r="D47" s="3">
        <v>160</v>
      </c>
      <c r="E47" s="3">
        <v>15</v>
      </c>
      <c r="F47" s="1" t="s">
        <v>10</v>
      </c>
      <c r="G47">
        <f t="shared" si="1"/>
        <v>2400</v>
      </c>
    </row>
    <row r="48" spans="1:7" x14ac:dyDescent="0.25">
      <c r="A48" s="3" t="s">
        <v>33</v>
      </c>
      <c r="B48" s="2" t="str">
        <f t="shared" si="0"/>
        <v>February</v>
      </c>
      <c r="C48" s="1" t="s">
        <v>8</v>
      </c>
      <c r="D48" s="3">
        <v>220</v>
      </c>
      <c r="E48" s="3">
        <v>20</v>
      </c>
      <c r="F48" s="1" t="s">
        <v>10</v>
      </c>
      <c r="G48">
        <f t="shared" si="1"/>
        <v>4400</v>
      </c>
    </row>
    <row r="49" spans="1:7" x14ac:dyDescent="0.25">
      <c r="A49" s="3" t="s">
        <v>34</v>
      </c>
      <c r="B49" s="2" t="str">
        <f t="shared" si="0"/>
        <v>February</v>
      </c>
      <c r="C49" s="1" t="s">
        <v>9</v>
      </c>
      <c r="D49" s="3">
        <v>150</v>
      </c>
      <c r="E49" s="3">
        <v>25</v>
      </c>
      <c r="F49" s="1" t="s">
        <v>10</v>
      </c>
      <c r="G49">
        <f t="shared" si="1"/>
        <v>3750</v>
      </c>
    </row>
    <row r="50" spans="1:7" x14ac:dyDescent="0.25">
      <c r="A50" s="3" t="s">
        <v>35</v>
      </c>
      <c r="B50" s="2" t="str">
        <f t="shared" si="0"/>
        <v>February</v>
      </c>
      <c r="C50" s="1" t="s">
        <v>5</v>
      </c>
      <c r="D50" s="3">
        <v>160</v>
      </c>
      <c r="E50" s="3">
        <v>10</v>
      </c>
      <c r="F50" s="1" t="s">
        <v>6</v>
      </c>
      <c r="G50">
        <f t="shared" si="1"/>
        <v>1600</v>
      </c>
    </row>
    <row r="51" spans="1:7" x14ac:dyDescent="0.25">
      <c r="A51" s="3" t="s">
        <v>36</v>
      </c>
      <c r="B51" s="2" t="str">
        <f t="shared" si="0"/>
        <v>February</v>
      </c>
      <c r="C51" s="1" t="s">
        <v>7</v>
      </c>
      <c r="D51" s="3">
        <v>210</v>
      </c>
      <c r="E51" s="3">
        <v>15</v>
      </c>
      <c r="F51" s="1" t="s">
        <v>6</v>
      </c>
      <c r="G51">
        <f t="shared" si="1"/>
        <v>3150</v>
      </c>
    </row>
    <row r="52" spans="1:7" x14ac:dyDescent="0.25">
      <c r="A52" s="3" t="s">
        <v>37</v>
      </c>
      <c r="B52" s="2" t="str">
        <f t="shared" si="0"/>
        <v>February</v>
      </c>
      <c r="C52" s="1" t="s">
        <v>8</v>
      </c>
      <c r="D52" s="3">
        <v>260</v>
      </c>
      <c r="E52" s="3">
        <v>20</v>
      </c>
      <c r="F52" s="1" t="s">
        <v>6</v>
      </c>
      <c r="G52">
        <f t="shared" si="1"/>
        <v>5200</v>
      </c>
    </row>
    <row r="53" spans="1:7" x14ac:dyDescent="0.25">
      <c r="A53" s="3" t="s">
        <v>38</v>
      </c>
      <c r="B53" s="2" t="str">
        <f t="shared" si="0"/>
        <v>February</v>
      </c>
      <c r="C53" s="1" t="s">
        <v>9</v>
      </c>
      <c r="D53" s="3">
        <v>180</v>
      </c>
      <c r="E53" s="3">
        <v>25</v>
      </c>
      <c r="F53" s="1" t="s">
        <v>6</v>
      </c>
      <c r="G53">
        <f t="shared" si="1"/>
        <v>4500</v>
      </c>
    </row>
    <row r="54" spans="1:7" x14ac:dyDescent="0.25">
      <c r="A54" s="3" t="s">
        <v>39</v>
      </c>
      <c r="B54" s="2" t="str">
        <f t="shared" si="0"/>
        <v>February</v>
      </c>
      <c r="C54" s="1" t="s">
        <v>5</v>
      </c>
      <c r="D54" s="3">
        <v>140</v>
      </c>
      <c r="E54" s="3">
        <v>10</v>
      </c>
      <c r="F54" s="1" t="s">
        <v>10</v>
      </c>
      <c r="G54">
        <f t="shared" si="1"/>
        <v>1400</v>
      </c>
    </row>
    <row r="55" spans="1:7" x14ac:dyDescent="0.25">
      <c r="A55" s="3" t="s">
        <v>40</v>
      </c>
      <c r="B55" s="2" t="str">
        <f t="shared" si="0"/>
        <v>February</v>
      </c>
      <c r="C55" s="1" t="s">
        <v>7</v>
      </c>
      <c r="D55" s="3">
        <v>170</v>
      </c>
      <c r="E55" s="3">
        <v>15</v>
      </c>
      <c r="F55" s="1" t="s">
        <v>10</v>
      </c>
      <c r="G55">
        <f t="shared" si="1"/>
        <v>2550</v>
      </c>
    </row>
    <row r="56" spans="1:7" x14ac:dyDescent="0.25">
      <c r="A56" s="3" t="s">
        <v>41</v>
      </c>
      <c r="B56" s="2" t="str">
        <f t="shared" si="0"/>
        <v>February</v>
      </c>
      <c r="C56" s="1" t="s">
        <v>8</v>
      </c>
      <c r="D56" s="3">
        <v>230</v>
      </c>
      <c r="E56" s="3">
        <v>20</v>
      </c>
      <c r="F56" s="1" t="s">
        <v>10</v>
      </c>
      <c r="G56">
        <f t="shared" si="1"/>
        <v>4600</v>
      </c>
    </row>
    <row r="57" spans="1:7" x14ac:dyDescent="0.25">
      <c r="A57" s="3" t="s">
        <v>42</v>
      </c>
      <c r="B57" s="2" t="str">
        <f t="shared" si="0"/>
        <v>February</v>
      </c>
      <c r="C57" s="1" t="s">
        <v>9</v>
      </c>
      <c r="D57" s="3">
        <v>160</v>
      </c>
      <c r="E57" s="3">
        <v>25</v>
      </c>
      <c r="F57" s="1" t="s">
        <v>10</v>
      </c>
      <c r="G57">
        <f t="shared" si="1"/>
        <v>4000</v>
      </c>
    </row>
    <row r="58" spans="1:7" x14ac:dyDescent="0.25">
      <c r="A58" s="3" t="s">
        <v>43</v>
      </c>
      <c r="B58" s="2" t="str">
        <f t="shared" si="0"/>
        <v>February</v>
      </c>
      <c r="C58" s="1" t="s">
        <v>5</v>
      </c>
      <c r="D58" s="3">
        <v>170</v>
      </c>
      <c r="E58" s="3">
        <v>10</v>
      </c>
      <c r="F58" s="1" t="s">
        <v>6</v>
      </c>
      <c r="G58">
        <f t="shared" si="1"/>
        <v>1700</v>
      </c>
    </row>
    <row r="59" spans="1:7" x14ac:dyDescent="0.25">
      <c r="A59" s="3" t="s">
        <v>44</v>
      </c>
      <c r="B59" s="2" t="str">
        <f t="shared" si="0"/>
        <v>February</v>
      </c>
      <c r="C59" s="1" t="s">
        <v>7</v>
      </c>
      <c r="D59" s="3">
        <v>220</v>
      </c>
      <c r="E59" s="3">
        <v>15</v>
      </c>
      <c r="F59" s="1" t="s">
        <v>6</v>
      </c>
      <c r="G59">
        <f t="shared" si="1"/>
        <v>3300</v>
      </c>
    </row>
    <row r="60" spans="1:7" x14ac:dyDescent="0.25">
      <c r="A60" s="3" t="s">
        <v>45</v>
      </c>
      <c r="B60" s="2" t="str">
        <f t="shared" si="0"/>
        <v>February</v>
      </c>
      <c r="C60" s="1" t="s">
        <v>8</v>
      </c>
      <c r="D60" s="3">
        <v>270</v>
      </c>
      <c r="E60" s="3">
        <v>20</v>
      </c>
      <c r="F60" s="1" t="s">
        <v>6</v>
      </c>
      <c r="G60">
        <f t="shared" si="1"/>
        <v>5400</v>
      </c>
    </row>
    <row r="61" spans="1:7" x14ac:dyDescent="0.25">
      <c r="A61" s="3" t="s">
        <v>46</v>
      </c>
      <c r="B61" s="2" t="str">
        <f t="shared" si="0"/>
        <v>February</v>
      </c>
      <c r="C61" s="1" t="s">
        <v>9</v>
      </c>
      <c r="D61" s="3">
        <v>190</v>
      </c>
      <c r="E61" s="3">
        <v>25</v>
      </c>
      <c r="F61" s="1" t="s">
        <v>6</v>
      </c>
      <c r="G61">
        <f t="shared" si="1"/>
        <v>4750</v>
      </c>
    </row>
    <row r="62" spans="1:7" x14ac:dyDescent="0.25">
      <c r="A62" s="2">
        <v>45294</v>
      </c>
      <c r="B62" s="2" t="str">
        <f t="shared" si="0"/>
        <v>January</v>
      </c>
      <c r="C62" s="1" t="s">
        <v>5</v>
      </c>
      <c r="D62" s="3">
        <v>150</v>
      </c>
      <c r="E62" s="3">
        <v>10</v>
      </c>
      <c r="F62" s="1" t="s">
        <v>10</v>
      </c>
      <c r="G62">
        <f t="shared" si="1"/>
        <v>1500</v>
      </c>
    </row>
    <row r="63" spans="1:7" x14ac:dyDescent="0.25">
      <c r="A63" s="2">
        <v>45325</v>
      </c>
      <c r="B63" s="2" t="str">
        <f t="shared" si="0"/>
        <v>February</v>
      </c>
      <c r="C63" s="1" t="s">
        <v>7</v>
      </c>
      <c r="D63" s="3">
        <v>180</v>
      </c>
      <c r="E63" s="3">
        <v>15</v>
      </c>
      <c r="F63" s="1" t="s">
        <v>10</v>
      </c>
      <c r="G63">
        <f t="shared" si="1"/>
        <v>2700</v>
      </c>
    </row>
    <row r="64" spans="1:7" x14ac:dyDescent="0.25">
      <c r="A64" s="2">
        <v>45354</v>
      </c>
      <c r="B64" s="2" t="str">
        <f t="shared" si="0"/>
        <v>March</v>
      </c>
      <c r="C64" s="1" t="s">
        <v>8</v>
      </c>
      <c r="D64" s="3">
        <v>240</v>
      </c>
      <c r="E64" s="3">
        <v>20</v>
      </c>
      <c r="F64" s="1" t="s">
        <v>10</v>
      </c>
      <c r="G64">
        <f t="shared" si="1"/>
        <v>4800</v>
      </c>
    </row>
    <row r="65" spans="1:7" x14ac:dyDescent="0.25">
      <c r="A65" s="2">
        <v>45385</v>
      </c>
      <c r="B65" s="2" t="str">
        <f t="shared" si="0"/>
        <v>April</v>
      </c>
      <c r="C65" s="1" t="s">
        <v>9</v>
      </c>
      <c r="D65" s="3">
        <v>170</v>
      </c>
      <c r="E65" s="3">
        <v>25</v>
      </c>
      <c r="F65" s="1" t="s">
        <v>10</v>
      </c>
      <c r="G65">
        <f t="shared" si="1"/>
        <v>4250</v>
      </c>
    </row>
    <row r="66" spans="1:7" x14ac:dyDescent="0.25">
      <c r="A66" s="2">
        <v>45415</v>
      </c>
      <c r="B66" s="2" t="str">
        <f t="shared" si="0"/>
        <v>May</v>
      </c>
      <c r="C66" s="1" t="s">
        <v>5</v>
      </c>
      <c r="D66" s="3">
        <v>180</v>
      </c>
      <c r="E66" s="3">
        <v>10</v>
      </c>
      <c r="F66" s="1" t="s">
        <v>6</v>
      </c>
      <c r="G66">
        <f t="shared" si="1"/>
        <v>1800</v>
      </c>
    </row>
    <row r="67" spans="1:7" x14ac:dyDescent="0.25">
      <c r="A67" s="2">
        <v>45446</v>
      </c>
      <c r="B67" s="2" t="str">
        <f t="shared" ref="B67:B73" si="2">TEXT(A67,"mmmm")</f>
        <v>June</v>
      </c>
      <c r="C67" s="1" t="s">
        <v>7</v>
      </c>
      <c r="D67" s="3">
        <v>230</v>
      </c>
      <c r="E67" s="3">
        <v>15</v>
      </c>
      <c r="F67" s="1" t="s">
        <v>6</v>
      </c>
      <c r="G67">
        <f t="shared" ref="G67:G73" si="3">D67*E67</f>
        <v>3450</v>
      </c>
    </row>
    <row r="68" spans="1:7" x14ac:dyDescent="0.25">
      <c r="A68" s="2">
        <v>45476</v>
      </c>
      <c r="B68" s="2" t="str">
        <f t="shared" si="2"/>
        <v>July</v>
      </c>
      <c r="C68" s="1" t="s">
        <v>8</v>
      </c>
      <c r="D68" s="3">
        <v>280</v>
      </c>
      <c r="E68" s="3">
        <v>20</v>
      </c>
      <c r="F68" s="1" t="s">
        <v>6</v>
      </c>
      <c r="G68">
        <f t="shared" si="3"/>
        <v>5600</v>
      </c>
    </row>
    <row r="69" spans="1:7" x14ac:dyDescent="0.25">
      <c r="A69" s="2">
        <v>45507</v>
      </c>
      <c r="B69" s="2" t="str">
        <f t="shared" si="2"/>
        <v>August</v>
      </c>
      <c r="C69" s="1" t="s">
        <v>9</v>
      </c>
      <c r="D69" s="3">
        <v>200</v>
      </c>
      <c r="E69" s="3">
        <v>25</v>
      </c>
      <c r="F69" s="1" t="s">
        <v>6</v>
      </c>
      <c r="G69">
        <f t="shared" si="3"/>
        <v>5000</v>
      </c>
    </row>
    <row r="70" spans="1:7" x14ac:dyDescent="0.25">
      <c r="A70" s="2">
        <v>45538</v>
      </c>
      <c r="B70" s="2" t="str">
        <f t="shared" si="2"/>
        <v>September</v>
      </c>
      <c r="C70" s="1" t="s">
        <v>5</v>
      </c>
      <c r="D70" s="3">
        <v>160</v>
      </c>
      <c r="E70" s="3">
        <v>10</v>
      </c>
      <c r="F70" s="1" t="s">
        <v>10</v>
      </c>
      <c r="G70">
        <f t="shared" si="3"/>
        <v>1600</v>
      </c>
    </row>
    <row r="71" spans="1:7" x14ac:dyDescent="0.25">
      <c r="A71" s="2">
        <v>45568</v>
      </c>
      <c r="B71" s="2" t="str">
        <f t="shared" si="2"/>
        <v>October</v>
      </c>
      <c r="C71" s="1" t="s">
        <v>7</v>
      </c>
      <c r="D71" s="3">
        <v>190</v>
      </c>
      <c r="E71" s="3">
        <v>15</v>
      </c>
      <c r="F71" s="1" t="s">
        <v>10</v>
      </c>
      <c r="G71">
        <f t="shared" si="3"/>
        <v>2850</v>
      </c>
    </row>
    <row r="72" spans="1:7" x14ac:dyDescent="0.25">
      <c r="A72" s="2">
        <v>45599</v>
      </c>
      <c r="B72" s="2" t="str">
        <f t="shared" si="2"/>
        <v>November</v>
      </c>
      <c r="C72" s="1" t="s">
        <v>8</v>
      </c>
      <c r="D72" s="3">
        <v>250</v>
      </c>
      <c r="E72" s="3">
        <v>20</v>
      </c>
      <c r="F72" s="1" t="s">
        <v>10</v>
      </c>
      <c r="G72">
        <f t="shared" si="3"/>
        <v>5000</v>
      </c>
    </row>
    <row r="73" spans="1:7" x14ac:dyDescent="0.25">
      <c r="A73" s="2">
        <v>45629</v>
      </c>
      <c r="B73" s="2" t="str">
        <f t="shared" si="2"/>
        <v>December</v>
      </c>
      <c r="C73" s="1" t="s">
        <v>9</v>
      </c>
      <c r="D73" s="3">
        <v>180</v>
      </c>
      <c r="E73" s="3">
        <v>25</v>
      </c>
      <c r="F73" s="1" t="s">
        <v>10</v>
      </c>
      <c r="G73">
        <f t="shared" si="3"/>
        <v>4500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9F1E0-FABA-4651-877A-B116E59A1A56}">
  <dimension ref="A1"/>
  <sheetViews>
    <sheetView zoomScale="72" workbookViewId="0">
      <selection activeCell="B7" sqref="B7"/>
    </sheetView>
  </sheetViews>
  <sheetFormatPr defaultRowHeight="13.2" x14ac:dyDescent="0.25"/>
  <cols>
    <col min="1" max="1" width="255.77734375" style="12" customWidth="1"/>
    <col min="2" max="16384" width="8.88671875" style="12"/>
  </cols>
  <sheetData>
    <row r="1" spans="1:1" ht="90" x14ac:dyDescent="1.45">
      <c r="A1" s="13" t="s">
        <v>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CD0C-121E-44E4-A5FF-EED4B6D06770}">
  <dimension ref="A1"/>
  <sheetViews>
    <sheetView tabSelected="1" zoomScale="76" workbookViewId="0">
      <selection activeCell="B14" sqref="B14"/>
    </sheetView>
  </sheetViews>
  <sheetFormatPr defaultRowHeight="13.2" x14ac:dyDescent="0.25"/>
  <cols>
    <col min="1" max="1" width="138.109375" style="12" bestFit="1" customWidth="1"/>
    <col min="2" max="16384" width="8.88671875" style="12"/>
  </cols>
  <sheetData>
    <row r="1" spans="1:1" ht="60.6" x14ac:dyDescent="1">
      <c r="A1" s="14" t="s">
        <v>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Sheet6</vt:lpstr>
      <vt:lpstr>Sheet11</vt:lpstr>
      <vt:lpstr>Sheet12</vt:lpstr>
      <vt:lpstr>Sheet13</vt:lpstr>
      <vt:lpstr>Sheet14</vt:lpstr>
      <vt:lpstr>Sheet15</vt:lpstr>
      <vt:lpstr>Sheet16</vt:lpstr>
      <vt:lpstr>Sheet17</vt:lpstr>
      <vt:lpstr>Sheet18</vt:lpstr>
      <vt:lpstr>Sheet1</vt:lpstr>
      <vt:lpstr>Dash1</vt:lpstr>
      <vt:lpstr>Dash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Vaishnavi Patil</cp:lastModifiedBy>
  <dcterms:modified xsi:type="dcterms:W3CDTF">2024-05-14T09:12:50Z</dcterms:modified>
</cp:coreProperties>
</file>